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3f6b7307fd40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89b0a5ebcff4779"/>
    <x:sheet xmlns:r="http://schemas.openxmlformats.org/officeDocument/2006/relationships" name="Raw Responses" sheetId="2" r:id="Ra8e6762b3d5d42ff"/>
    <x:sheet xmlns:r="http://schemas.openxmlformats.org/officeDocument/2006/relationships" name="Codebook" sheetId="3" r:id="R78f06d3f8f104b8f"/>
    <x:sheet xmlns:r="http://schemas.openxmlformats.org/officeDocument/2006/relationships" name="Task Analysis" sheetId="4" r:id="R06a8390cd9f848ee"/>
    <x:sheet xmlns:r="http://schemas.openxmlformats.org/officeDocument/2006/relationships" name="Likert Analysis" sheetId="5" r:id="Re01d79dc3990491a"/>
    <x:sheet xmlns:r="http://schemas.openxmlformats.org/officeDocument/2006/relationships" name="Understanding" sheetId="6" r:id="R4ba3f636ca2b4d54"/>
    <x:sheet xmlns:r="http://schemas.openxmlformats.org/officeDocument/2006/relationships" name="Dashboard" sheetId="7" r:id="R2e12fc759e8a44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"/>
    <x:numFmt numFmtId="202" formatCode="0.0%"/>
    <x:numFmt numFmtId="203" formatCode="0.00"/>
    <x:numFmt numFmtId="204" formatCode="0%"/>
    <x:numFmt numFmtId="205" formatCode="0.0"/>
  </x:numFmts>
  <x:fonts count="2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573"/>
      <x:name val="Carlito"/>
    </x:font>
    <x:font>
      <x:b/>
      <x:sz val="11"/>
      <x:color rgb="FF17365D"/>
      <x:name val="Carlito"/>
    </x:font>
    <x:font>
      <x:sz val="11"/>
      <x:color rgb="FF1F2937"/>
      <x:name val="Carlito"/>
    </x:font>
    <x:font>
      <x:b/>
      <x:sz val="11"/>
      <x:color rgb="FFD97706"/>
      <x:name val="Carlito"/>
    </x:font>
    <x:font>
      <x:b/>
      <x:sz val="10"/>
      <x:color rgb="FF17365D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b/>
      <x:sz val="10"/>
      <x:color rgb="FF5B6573"/>
      <x:name val="Carlito"/>
    </x:font>
    <x:font>
      <x:b/>
      <x:sz val="17"/>
      <x:color rgb="FF17365D"/>
      <x:name val="Carlito"/>
    </x:font>
    <x:font>
      <x:b/>
      <x:sz val="11"/>
      <x:color rgb="FF5B6573"/>
      <x:name val="Carlito"/>
    </x:font>
    <x:font>
      <x:b/>
      <x:sz val="14"/>
      <x:color rgb="FFD97706"/>
      <x:name val="Carlito"/>
    </x:font>
    <x:font>
      <x:i/>
      <x:sz val="11"/>
      <x:color rgb="FF17365D"/>
      <x:name val="Carlito"/>
    </x:font>
    <x:font>
      <x:sz val="11"/>
      <x:color rgb="FF1F2937"/>
      <x:name val="Aptos"/>
    </x:font>
    <x:font>
      <x:b/>
      <x:sz val="10"/>
      <x:color rgb="FF1F2937"/>
      <x:name val="Aptos"/>
    </x:font>
    <x:font>
      <x:b/>
      <x:sz val="17"/>
      <x:color rgb="FF1F2937"/>
      <x:name val="Aptos"/>
    </x:font>
    <x:font>
      <x:b/>
      <x:sz val="11"/>
      <x:color rgb="FF1F2937"/>
      <x:name val="Aptos"/>
    </x:font>
    <x:font>
      <x:b/>
      <x:sz val="14"/>
      <x:color rgb="FF1F2937"/>
      <x:name val="Aptos"/>
    </x:font>
    <x:font>
      <x:i/>
      <x:sz val="11"/>
      <x:color rgb="FF1F2937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5FAFE"/>
      </x:patternFill>
    </x:fill>
    <x:fill>
      <x:patternFill patternType="solid">
        <x:fgColor rgb="FF2E75B6"/>
      </x:patternFill>
    </x:fill>
    <x:fill>
      <x:patternFill patternType="solid">
        <x:fgColor rgb="FFF3F5F7"/>
      </x:patternFill>
    </x:fill>
    <x:fill>
      <x:patternFill patternType="solid">
        <x:fgColor rgb="FFFFFFFF"/>
      </x:patternFill>
    </x:fill>
  </x:fills>
  <x:borders count="27">
    <x:border/>
    <x:border>
      <x:left style="thin">
        <x:color rgb="FFCCD4DD"/>
      </x:left>
      <x:right style="thin">
        <x:color rgb="FFCCD4DD"/>
      </x:right>
      <x:top style="thin">
        <x:color rgb="FFCCD4DD"/>
      </x:top>
      <x:bottom style="thin">
        <x:color rgb="FFCCD4DD"/>
      </x:bottom>
    </x:border>
    <x:border>
      <x:left style="thin">
        <x:color rgb="FFD97706"/>
      </x:left>
      <x:top style="thin">
        <x:color rgb="FFD97706"/>
      </x:top>
      <x:bottom style="thin">
        <x:color rgb="FFD97706"/>
      </x:bottom>
    </x:border>
    <x:border>
      <x:top style="thin">
        <x:color rgb="FFD97706"/>
      </x:top>
      <x:bottom style="thin">
        <x:color rgb="FFD97706"/>
      </x:bottom>
    </x:border>
    <x:border>
      <x:right style="thin">
        <x:color rgb="FFD97706"/>
      </x:right>
      <x:top style="thin">
        <x:color rgb="FFD97706"/>
      </x:top>
      <x:bottom style="thin">
        <x:color rgb="FFD97706"/>
      </x:bottom>
    </x:border>
    <x:border>
      <x:bottom style="thin">
        <x:color rgb="FFE5E9EF"/>
      </x:bottom>
    </x:border>
    <x:border>
      <x:top style="thin">
        <x:color rgb="FFE5E9EF"/>
      </x:top>
      <x:bottom style="thin">
        <x:color rgb="FFE5E9EF"/>
      </x:bottom>
    </x:border>
    <x:border>
      <x:top style="thin">
        <x:color rgb="FFE5E9EF"/>
      </x:top>
      <x:bottom style="thin">
        <x:color rgb="FFCCD4DD"/>
      </x:bottom>
    </x:border>
    <x:border>
      <x:left style="thin">
        <x:color rgb="FFCCD4DD"/>
      </x:left>
      <x:top style="thin">
        <x:color rgb="FFCCD4DD"/>
      </x:top>
      <x:bottom style="thin">
        <x:color rgb="FFCCD4DD"/>
      </x:bottom>
    </x:border>
    <x:border>
      <x:top style="thin">
        <x:color rgb="FFCCD4DD"/>
      </x:top>
      <x:bottom style="thin">
        <x:color rgb="FFCCD4DD"/>
      </x:bottom>
    </x:border>
    <x:border>
      <x:right style="thin">
        <x:color rgb="FFCCD4DD"/>
      </x:right>
      <x:top style="thin">
        <x:color rgb="FFCCD4DD"/>
      </x:top>
      <x:bottom style="thin">
        <x:color rgb="FFCCD4DD"/>
      </x:bottom>
    </x:border>
    <x:border>
      <x:left style="thin">
        <x:color rgb="FFCCD4DD"/>
      </x:left>
      <x:top style="thin">
        <x:color rgb="FFCCD4DD"/>
      </x:top>
    </x:border>
    <x:border>
      <x:right style="thin">
        <x:color rgb="FFCCD4DD"/>
      </x:right>
      <x:top style="thin">
        <x:color rgb="FFCCD4DD"/>
      </x:top>
    </x:border>
    <x:border>
      <x:left style="thin">
        <x:color rgb="FFCCD4DD"/>
      </x:left>
    </x:border>
    <x:border>
      <x:right style="thin">
        <x:color rgb="FFCCD4DD"/>
      </x:right>
    </x:border>
    <x:border>
      <x:left style="thin">
        <x:color rgb="FFCCD4DD"/>
      </x:left>
      <x:bottom style="thin">
        <x:color rgb="FFCCD4DD"/>
      </x:bottom>
    </x:border>
    <x:border>
      <x:right style="thin">
        <x:color rgb="FFCCD4DD"/>
      </x:right>
      <x:bottom style="thin">
        <x:color rgb="FFCCD4DD"/>
      </x:bottom>
    </x:border>
    <x:border>
      <x:left style="thin">
        <x:color rgb="FFD97706"/>
      </x:left>
      <x:top style="thin">
        <x:color rgb="FFD97706"/>
      </x:top>
    </x:border>
    <x:border>
      <x:top style="thin">
        <x:color rgb="FFD97706"/>
      </x:top>
    </x:border>
    <x:border>
      <x:right style="thin">
        <x:color rgb="FFD97706"/>
      </x:right>
      <x:top style="thin">
        <x:color rgb="FFD97706"/>
      </x:top>
    </x:border>
    <x:border>
      <x:left style="thin">
        <x:color rgb="FFD97706"/>
      </x:left>
    </x:border>
    <x:border>
      <x:right style="thin">
        <x:color rgb="FFD97706"/>
      </x:right>
    </x:border>
    <x:border>
      <x:left style="thin">
        <x:color rgb="FFD97706"/>
      </x:left>
      <x:bottom style="thin">
        <x:color rgb="FFD97706"/>
      </x:bottom>
    </x:border>
    <x:border>
      <x:bottom style="thin">
        <x:color rgb="FFD97706"/>
      </x:bottom>
    </x:border>
    <x:border>
      <x:right style="thin">
        <x:color rgb="FFD97706"/>
      </x:right>
      <x:bottom style="thin">
        <x:color rgb="FFD97706"/>
      </x:bottom>
    </x:border>
    <x:border>
      <x:top style="thin">
        <x:color rgb="FFCCD4DD"/>
      </x:top>
    </x:border>
    <x:border>
      <x:bottom style="thin">
        <x:color rgb="FFCCD4DD"/>
      </x:bottom>
    </x:border>
  </x:borders>
  <x:cellStyleXfs count="1">
    <x:xf numFmtId="0" fontId="0" fillId="0" borderId="0"/>
  </x:cellStyleXfs>
  <x:cellXfs count="2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5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vertical="center"/>
    </x:xf>
    <x:xf numFmtId="200" fontId="7" fillId="0" borderId="5" xfId="0" applyNumberFormat="1" applyFont="1" applyFill="1" applyBorder="1" applyAlignment="1">
      <x:alignment vertical="center"/>
    </x:xf>
    <x:xf numFmtId="200" fontId="7" fillId="0" borderId="6" xfId="0" applyNumberFormat="1" applyFont="1" applyFill="1" applyBorder="1" applyAlignment="1">
      <x:alignment vertical="center"/>
    </x:xf>
    <x:xf numFmtId="200" fontId="7" fillId="0" borderId="7" xfId="0" applyNumberFormat="1" applyFont="1" applyFill="1" applyBorder="1" applyAlignment="1">
      <x:alignment vertical="center"/>
    </x:xf>
    <x:xf numFmtId="201" fontId="7" fillId="0" borderId="5" xfId="0" applyNumberFormat="1" applyFont="1" applyFill="1" applyBorder="1" applyAlignment="1">
      <x:alignment vertical="center"/>
    </x:xf>
    <x:xf numFmtId="201" fontId="7" fillId="0" borderId="6" xfId="0" applyNumberFormat="1" applyFont="1" applyFill="1" applyBorder="1" applyAlignment="1">
      <x:alignment vertical="center"/>
    </x:xf>
    <x:xf numFmtId="201" fontId="7" fillId="0" borderId="7" xfId="0" applyNumberFormat="1" applyFont="1" applyFill="1" applyBorder="1" applyAlignment="1">
      <x:alignment vertical="center"/>
    </x:xf>
    <x:xf numFmtId="200" fontId="7" fillId="6" borderId="5" xfId="0" applyNumberFormat="1" applyFont="1" applyFill="1" applyBorder="1" applyAlignment="1">
      <x:alignment vertical="center"/>
    </x:xf>
    <x:xf numFmtId="0" fontId="7" fillId="6" borderId="5" xfId="0" applyNumberFormat="1" applyFont="1" applyFill="1" applyBorder="1" applyAlignment="1">
      <x:alignment vertical="center"/>
    </x:xf>
    <x:xf numFmtId="201" fontId="7" fillId="6" borderId="5" xfId="0" applyNumberFormat="1" applyFont="1" applyFill="1" applyBorder="1" applyAlignment="1">
      <x:alignment vertical="center"/>
    </x:xf>
    <x:xf numFmtId="200" fontId="7" fillId="6" borderId="6" xfId="0" applyNumberFormat="1" applyFont="1" applyFill="1" applyBorder="1" applyAlignment="1">
      <x:alignment vertical="center"/>
    </x:xf>
    <x:xf numFmtId="0" fontId="7" fillId="6" borderId="6" xfId="0" applyNumberFormat="1" applyFont="1" applyFill="1" applyBorder="1" applyAlignment="1">
      <x:alignment vertical="center"/>
    </x:xf>
    <x:xf numFmtId="201" fontId="7" fillId="6" borderId="6" xfId="0" applyNumberFormat="1" applyFont="1" applyFill="1" applyBorder="1" applyAlignment="1">
      <x:alignment vertical="center"/>
    </x:xf>
    <x:xf numFmtId="200" fontId="7" fillId="6" borderId="7" xfId="0" applyNumberFormat="1" applyFont="1" applyFill="1" applyBorder="1" applyAlignment="1">
      <x:alignment vertical="center"/>
    </x:xf>
    <x:xf numFmtId="0" fontId="7" fillId="6" borderId="7" xfId="0" applyNumberFormat="1" applyFont="1" applyFill="1" applyBorder="1" applyAlignment="1">
      <x:alignment vertical="center"/>
    </x:xf>
    <x:xf numFmtId="201" fontId="7" fillId="6" borderId="7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 wrapText="1"/>
    </x:xf>
    <x:xf numFmtId="200" fontId="7" fillId="6" borderId="5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 applyAlignment="1">
      <x:alignment vertical="center" wrapText="1"/>
    </x:xf>
    <x:xf numFmtId="201" fontId="7" fillId="6" borderId="5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  <x:xf numFmtId="200" fontId="7" fillId="6" borderId="6" xfId="0" applyNumberFormat="1" applyFont="1" applyFill="1" applyBorder="1" applyAlignment="1">
      <x:alignment vertical="center" wrapText="1"/>
    </x:xf>
    <x:xf numFmtId="0" fontId="7" fillId="6" borderId="6" xfId="0" applyNumberFormat="1" applyFont="1" applyFill="1" applyBorder="1" applyAlignment="1">
      <x:alignment vertical="center" wrapText="1"/>
    </x:xf>
    <x:xf numFmtId="201" fontId="7" fillId="6" borderId="6" xfId="0" applyNumberFormat="1" applyFont="1" applyFill="1" applyBorder="1" applyAlignment="1">
      <x:alignment vertical="center" wrapText="1"/>
    </x:xf>
    <x:xf numFmtId="0" fontId="7" fillId="0" borderId="7" xfId="0" applyNumberFormat="1" applyFont="1" applyFill="1" applyBorder="1" applyAlignment="1">
      <x:alignment vertical="center" wrapText="1"/>
    </x:xf>
    <x:xf numFmtId="200" fontId="7" fillId="6" borderId="7" xfId="0" applyNumberFormat="1" applyFont="1" applyFill="1" applyBorder="1" applyAlignment="1">
      <x:alignment vertical="center" wrapText="1"/>
    </x:xf>
    <x:xf numFmtId="0" fontId="7" fillId="6" borderId="7" xfId="0" applyNumberFormat="1" applyFont="1" applyFill="1" applyBorder="1" applyAlignment="1">
      <x:alignment vertical="center" wrapText="1"/>
    </x:xf>
    <x:xf numFmtId="201" fontId="7" fillId="6" borderId="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2" fontId="7" fillId="0" borderId="5" xfId="0" applyNumberFormat="1" applyFont="1" applyFill="1" applyBorder="1" applyAlignment="1">
      <x:alignment vertical="center"/>
    </x:xf>
    <x:xf numFmtId="202" fontId="7" fillId="0" borderId="6" xfId="0" applyNumberFormat="1" applyFont="1" applyFill="1" applyBorder="1" applyAlignment="1">
      <x:alignment vertical="center"/>
    </x:xf>
    <x:xf numFmtId="202" fontId="7" fillId="0" borderId="7" xfId="0" applyNumberFormat="1" applyFont="1" applyFill="1" applyBorder="1" applyAlignment="1">
      <x:alignment vertical="center"/>
    </x:xf>
    <x:xf numFmtId="201" fontId="7" fillId="0" borderId="5" xfId="0" applyNumberFormat="1" applyFont="1" applyFill="1" applyBorder="1" applyAlignment="1">
      <x:alignment vertical="center" wrapText="1"/>
    </x:xf>
    <x:xf numFmtId="202" fontId="7" fillId="0" borderId="5" xfId="0" applyNumberFormat="1" applyFont="1" applyFill="1" applyBorder="1" applyAlignment="1">
      <x:alignment vertical="center" wrapText="1"/>
    </x:xf>
    <x:xf numFmtId="201" fontId="7" fillId="0" borderId="6" xfId="0" applyNumberFormat="1" applyFont="1" applyFill="1" applyBorder="1" applyAlignment="1">
      <x:alignment vertical="center" wrapText="1"/>
    </x:xf>
    <x:xf numFmtId="202" fontId="7" fillId="0" borderId="6" xfId="0" applyNumberFormat="1" applyFont="1" applyFill="1" applyBorder="1" applyAlignment="1">
      <x:alignment vertical="center" wrapText="1"/>
    </x:xf>
    <x:xf numFmtId="201" fontId="7" fillId="0" borderId="7" xfId="0" applyNumberFormat="1" applyFont="1" applyFill="1" applyBorder="1" applyAlignment="1">
      <x:alignment vertical="center" wrapText="1"/>
    </x:xf>
    <x:xf numFmtId="202" fontId="7" fillId="0" borderId="7" xfId="0" applyNumberFormat="1" applyFont="1" applyFill="1" applyBorder="1" applyAlignment="1">
      <x:alignment vertical="center" wrapText="1"/>
    </x:xf>
    <x:xf numFmtId="203" fontId="7" fillId="0" borderId="5" xfId="0" applyNumberFormat="1" applyFont="1" applyFill="1" applyBorder="1" applyAlignment="1">
      <x:alignment vertical="center"/>
    </x:xf>
    <x:xf numFmtId="203" fontId="7" fillId="0" borderId="6" xfId="0" applyNumberFormat="1" applyFont="1" applyFill="1" applyBorder="1" applyAlignment="1">
      <x:alignment vertical="center"/>
    </x:xf>
    <x:xf numFmtId="203" fontId="7" fillId="0" borderId="7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8" xfId="0" applyNumberFormat="1" applyFont="1" applyFill="1" applyBorder="1"/>
    <x:xf numFmtId="0" fontId="8" fillId="7" borderId="9" xfId="0" applyNumberFormat="1" applyFont="1" applyFill="1" applyBorder="1"/>
    <x:xf numFmtId="0" fontId="8" fillId="7" borderId="10" xfId="0" applyNumberFormat="1" applyFont="1" applyFill="1" applyBorder="1"/>
    <x:xf numFmtId="0" fontId="8" fillId="7" borderId="8" xfId="0" applyNumberFormat="1" applyFont="1" applyFill="1" applyBorder="1" applyAlignment="1">
      <x:alignment wrapText="1"/>
    </x:xf>
    <x:xf numFmtId="0" fontId="8" fillId="7" borderId="9" xfId="0" applyNumberFormat="1" applyFont="1" applyFill="1" applyBorder="1" applyAlignment="1">
      <x:alignment wrapText="1"/>
    </x:xf>
    <x:xf numFmtId="0" fontId="8" fillId="7" borderId="10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vertical="center" wrapText="1"/>
    </x:xf>
    <x:xf numFmtId="0" fontId="8" fillId="7" borderId="9" xfId="0" applyNumberFormat="1" applyFont="1" applyFill="1" applyBorder="1" applyAlignment="1">
      <x:alignment vertical="center" wrapText="1"/>
    </x:xf>
    <x:xf numFmtId="0" fontId="8" fillId="7" borderId="1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8" xfId="0" applyNumberFormat="1" applyFont="1" applyFill="1" applyBorder="1"/>
    <x:xf numFmtId="0" fontId="9" fillId="8" borderId="10" xfId="0" applyNumberFormat="1" applyFont="1" applyFill="1" applyBorder="1"/>
    <x:xf numFmtId="0" fontId="9" fillId="8" borderId="8" xfId="0" applyNumberFormat="1" applyFont="1" applyFill="1" applyBorder="1" applyAlignment="1">
      <x:alignment horizontal="center"/>
    </x:xf>
    <x:xf numFmtId="0" fontId="9" fillId="8" borderId="10" xfId="0" applyNumberFormat="1" applyFont="1" applyFill="1" applyBorder="1" applyAlignment="1">
      <x:alignment horizontal="center"/>
    </x:xf>
    <x:xf numFmtId="0" fontId="9" fillId="8" borderId="8" xfId="0" applyNumberFormat="1" applyFont="1" applyFill="1" applyBorder="1" applyAlignment="1">
      <x:alignment horizontal="center" vertical="center"/>
    </x:xf>
    <x:xf numFmtId="0" fontId="9" fillId="8" borderId="1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11" xfId="0" applyNumberFormat="1" applyFont="1" applyFill="1" applyBorder="1"/>
    <x:xf numFmtId="0" fontId="10" fillId="9" borderId="12" xfId="0" applyNumberFormat="1" applyFont="1" applyFill="1" applyBorder="1"/>
    <x:xf numFmtId="0" fontId="10" fillId="9" borderId="13" xfId="0" applyNumberFormat="1" applyFont="1" applyFill="1" applyBorder="1"/>
    <x:xf numFmtId="0" fontId="10" fillId="9" borderId="14" xfId="0" applyNumberFormat="1" applyFont="1" applyFill="1" applyBorder="1"/>
    <x:xf numFmtId="0" fontId="10" fillId="9" borderId="15" xfId="0" applyNumberFormat="1" applyFont="1" applyFill="1" applyBorder="1"/>
    <x:xf numFmtId="0" fontId="10" fillId="9" borderId="16" xfId="0" applyNumberFormat="1" applyFont="1" applyFill="1" applyBorder="1"/>
    <x:xf numFmtId="201" fontId="10" fillId="9" borderId="11" xfId="0" applyNumberFormat="1" applyFont="1" applyFill="1" applyBorder="1"/>
    <x:xf numFmtId="201" fontId="10" fillId="9" borderId="12" xfId="0" applyNumberFormat="1" applyFont="1" applyFill="1" applyBorder="1"/>
    <x:xf numFmtId="201" fontId="10" fillId="9" borderId="13" xfId="0" applyNumberFormat="1" applyFont="1" applyFill="1" applyBorder="1"/>
    <x:xf numFmtId="201" fontId="10" fillId="9" borderId="14" xfId="0" applyNumberFormat="1" applyFont="1" applyFill="1" applyBorder="1"/>
    <x:xf numFmtId="201" fontId="10" fillId="9" borderId="15" xfId="0" applyNumberFormat="1" applyFont="1" applyFill="1" applyBorder="1"/>
    <x:xf numFmtId="201" fontId="10" fillId="9" borderId="16" xfId="0" applyNumberFormat="1" applyFont="1" applyFill="1" applyBorder="1"/>
    <x:xf numFmtId="201" fontId="10" fillId="9" borderId="11" xfId="0" applyNumberFormat="1" applyFont="1" applyFill="1" applyBorder="1" applyAlignment="1">
      <x:alignment horizontal="center"/>
    </x:xf>
    <x:xf numFmtId="201" fontId="10" fillId="9" borderId="12" xfId="0" applyNumberFormat="1" applyFont="1" applyFill="1" applyBorder="1" applyAlignment="1">
      <x:alignment horizontal="center"/>
    </x:xf>
    <x:xf numFmtId="201" fontId="10" fillId="9" borderId="13" xfId="0" applyNumberFormat="1" applyFont="1" applyFill="1" applyBorder="1" applyAlignment="1">
      <x:alignment horizontal="center"/>
    </x:xf>
    <x:xf numFmtId="201" fontId="10" fillId="9" borderId="14" xfId="0" applyNumberFormat="1" applyFont="1" applyFill="1" applyBorder="1" applyAlignment="1">
      <x:alignment horizontal="center"/>
    </x:xf>
    <x:xf numFmtId="201" fontId="10" fillId="9" borderId="15" xfId="0" applyNumberFormat="1" applyFont="1" applyFill="1" applyBorder="1" applyAlignment="1">
      <x:alignment horizontal="center"/>
    </x:xf>
    <x:xf numFmtId="201" fontId="10" fillId="9" borderId="16" xfId="0" applyNumberFormat="1" applyFont="1" applyFill="1" applyBorder="1" applyAlignment="1">
      <x:alignment horizontal="center"/>
    </x:xf>
    <x:xf numFmtId="201" fontId="10" fillId="9" borderId="11" xfId="0" applyNumberFormat="1" applyFont="1" applyFill="1" applyBorder="1" applyAlignment="1">
      <x:alignment horizontal="center" vertical="center"/>
    </x:xf>
    <x:xf numFmtId="201" fontId="10" fillId="9" borderId="12" xfId="0" applyNumberFormat="1" applyFont="1" applyFill="1" applyBorder="1" applyAlignment="1">
      <x:alignment horizontal="center" vertical="center"/>
    </x:xf>
    <x:xf numFmtId="201" fontId="10" fillId="9" borderId="13" xfId="0" applyNumberFormat="1" applyFont="1" applyFill="1" applyBorder="1" applyAlignment="1">
      <x:alignment horizontal="center" vertical="center"/>
    </x:xf>
    <x:xf numFmtId="201" fontId="10" fillId="9" borderId="14" xfId="0" applyNumberFormat="1" applyFont="1" applyFill="1" applyBorder="1" applyAlignment="1">
      <x:alignment horizontal="center" vertical="center"/>
    </x:xf>
    <x:xf numFmtId="201" fontId="10" fillId="9" borderId="15" xfId="0" applyNumberFormat="1" applyFont="1" applyFill="1" applyBorder="1" applyAlignment="1">
      <x:alignment horizontal="center" vertical="center"/>
    </x:xf>
    <x:xf numFmtId="201" fontId="10" fillId="9" borderId="16" xfId="0" applyNumberFormat="1" applyFont="1" applyFill="1" applyBorder="1" applyAlignment="1">
      <x:alignment horizontal="center" vertical="center"/>
    </x:xf>
    <x:xf numFmtId="204" fontId="10" fillId="9" borderId="11" xfId="0" applyNumberFormat="1" applyFont="1" applyFill="1" applyBorder="1"/>
    <x:xf numFmtId="204" fontId="10" fillId="9" borderId="12" xfId="0" applyNumberFormat="1" applyFont="1" applyFill="1" applyBorder="1"/>
    <x:xf numFmtId="204" fontId="10" fillId="9" borderId="13" xfId="0" applyNumberFormat="1" applyFont="1" applyFill="1" applyBorder="1"/>
    <x:xf numFmtId="204" fontId="10" fillId="9" borderId="14" xfId="0" applyNumberFormat="1" applyFont="1" applyFill="1" applyBorder="1"/>
    <x:xf numFmtId="204" fontId="10" fillId="9" borderId="15" xfId="0" applyNumberFormat="1" applyFont="1" applyFill="1" applyBorder="1"/>
    <x:xf numFmtId="204" fontId="10" fillId="9" borderId="16" xfId="0" applyNumberFormat="1" applyFont="1" applyFill="1" applyBorder="1"/>
    <x:xf numFmtId="204" fontId="10" fillId="9" borderId="11" xfId="0" applyNumberFormat="1" applyFont="1" applyFill="1" applyBorder="1" applyAlignment="1">
      <x:alignment horizontal="center"/>
    </x:xf>
    <x:xf numFmtId="204" fontId="10" fillId="9" borderId="12" xfId="0" applyNumberFormat="1" applyFont="1" applyFill="1" applyBorder="1" applyAlignment="1">
      <x:alignment horizontal="center"/>
    </x:xf>
    <x:xf numFmtId="204" fontId="10" fillId="9" borderId="13" xfId="0" applyNumberFormat="1" applyFont="1" applyFill="1" applyBorder="1" applyAlignment="1">
      <x:alignment horizontal="center"/>
    </x:xf>
    <x:xf numFmtId="204" fontId="10" fillId="9" borderId="14" xfId="0" applyNumberFormat="1" applyFont="1" applyFill="1" applyBorder="1" applyAlignment="1">
      <x:alignment horizontal="center"/>
    </x:xf>
    <x:xf numFmtId="204" fontId="10" fillId="9" borderId="15" xfId="0" applyNumberFormat="1" applyFont="1" applyFill="1" applyBorder="1" applyAlignment="1">
      <x:alignment horizontal="center"/>
    </x:xf>
    <x:xf numFmtId="204" fontId="10" fillId="9" borderId="16" xfId="0" applyNumberFormat="1" applyFont="1" applyFill="1" applyBorder="1" applyAlignment="1">
      <x:alignment horizontal="center"/>
    </x:xf>
    <x:xf numFmtId="204" fontId="10" fillId="9" borderId="11" xfId="0" applyNumberFormat="1" applyFont="1" applyFill="1" applyBorder="1" applyAlignment="1">
      <x:alignment horizontal="center" vertical="center"/>
    </x:xf>
    <x:xf numFmtId="204" fontId="10" fillId="9" borderId="12" xfId="0" applyNumberFormat="1" applyFont="1" applyFill="1" applyBorder="1" applyAlignment="1">
      <x:alignment horizontal="center" vertical="center"/>
    </x:xf>
    <x:xf numFmtId="204" fontId="10" fillId="9" borderId="13" xfId="0" applyNumberFormat="1" applyFont="1" applyFill="1" applyBorder="1" applyAlignment="1">
      <x:alignment horizontal="center" vertical="center"/>
    </x:xf>
    <x:xf numFmtId="204" fontId="10" fillId="9" borderId="14" xfId="0" applyNumberFormat="1" applyFont="1" applyFill="1" applyBorder="1" applyAlignment="1">
      <x:alignment horizontal="center" vertical="center"/>
    </x:xf>
    <x:xf numFmtId="204" fontId="10" fillId="9" borderId="15" xfId="0" applyNumberFormat="1" applyFont="1" applyFill="1" applyBorder="1" applyAlignment="1">
      <x:alignment horizontal="center" vertical="center"/>
    </x:xf>
    <x:xf numFmtId="204" fontId="10" fillId="9" borderId="16" xfId="0" applyNumberFormat="1" applyFont="1" applyFill="1" applyBorder="1" applyAlignment="1">
      <x:alignment horizontal="center" vertical="center"/>
    </x:xf>
    <x:xf numFmtId="205" fontId="10" fillId="9" borderId="11" xfId="0" applyNumberFormat="1" applyFont="1" applyFill="1" applyBorder="1"/>
    <x:xf numFmtId="205" fontId="10" fillId="9" borderId="12" xfId="0" applyNumberFormat="1" applyFont="1" applyFill="1" applyBorder="1"/>
    <x:xf numFmtId="205" fontId="10" fillId="9" borderId="13" xfId="0" applyNumberFormat="1" applyFont="1" applyFill="1" applyBorder="1"/>
    <x:xf numFmtId="205" fontId="10" fillId="9" borderId="14" xfId="0" applyNumberFormat="1" applyFont="1" applyFill="1" applyBorder="1"/>
    <x:xf numFmtId="205" fontId="10" fillId="9" borderId="15" xfId="0" applyNumberFormat="1" applyFont="1" applyFill="1" applyBorder="1"/>
    <x:xf numFmtId="205" fontId="10" fillId="9" borderId="16" xfId="0" applyNumberFormat="1" applyFont="1" applyFill="1" applyBorder="1"/>
    <x:xf numFmtId="205" fontId="10" fillId="9" borderId="11" xfId="0" applyNumberFormat="1" applyFont="1" applyFill="1" applyBorder="1" applyAlignment="1">
      <x:alignment horizontal="center"/>
    </x:xf>
    <x:xf numFmtId="205" fontId="10" fillId="9" borderId="12" xfId="0" applyNumberFormat="1" applyFont="1" applyFill="1" applyBorder="1" applyAlignment="1">
      <x:alignment horizontal="center"/>
    </x:xf>
    <x:xf numFmtId="205" fontId="10" fillId="9" borderId="13" xfId="0" applyNumberFormat="1" applyFont="1" applyFill="1" applyBorder="1" applyAlignment="1">
      <x:alignment horizontal="center"/>
    </x:xf>
    <x:xf numFmtId="205" fontId="10" fillId="9" borderId="14" xfId="0" applyNumberFormat="1" applyFont="1" applyFill="1" applyBorder="1" applyAlignment="1">
      <x:alignment horizontal="center"/>
    </x:xf>
    <x:xf numFmtId="205" fontId="10" fillId="9" borderId="15" xfId="0" applyNumberFormat="1" applyFont="1" applyFill="1" applyBorder="1" applyAlignment="1">
      <x:alignment horizontal="center"/>
    </x:xf>
    <x:xf numFmtId="205" fontId="10" fillId="9" borderId="16" xfId="0" applyNumberFormat="1" applyFont="1" applyFill="1" applyBorder="1" applyAlignment="1">
      <x:alignment horizontal="center"/>
    </x:xf>
    <x:xf numFmtId="205" fontId="10" fillId="9" borderId="11" xfId="0" applyNumberFormat="1" applyFont="1" applyFill="1" applyBorder="1" applyAlignment="1">
      <x:alignment horizontal="center" vertical="center"/>
    </x:xf>
    <x:xf numFmtId="205" fontId="10" fillId="9" borderId="12" xfId="0" applyNumberFormat="1" applyFont="1" applyFill="1" applyBorder="1" applyAlignment="1">
      <x:alignment horizontal="center" vertical="center"/>
    </x:xf>
    <x:xf numFmtId="205" fontId="10" fillId="9" borderId="13" xfId="0" applyNumberFormat="1" applyFont="1" applyFill="1" applyBorder="1" applyAlignment="1">
      <x:alignment horizontal="center" vertical="center"/>
    </x:xf>
    <x:xf numFmtId="205" fontId="10" fillId="9" borderId="14" xfId="0" applyNumberFormat="1" applyFont="1" applyFill="1" applyBorder="1" applyAlignment="1">
      <x:alignment horizontal="center" vertical="center"/>
    </x:xf>
    <x:xf numFmtId="205" fontId="10" fillId="9" borderId="15" xfId="0" applyNumberFormat="1" applyFont="1" applyFill="1" applyBorder="1" applyAlignment="1">
      <x:alignment horizontal="center" vertical="center"/>
    </x:xf>
    <x:xf numFmtId="205" fontId="10" fillId="9" borderId="16" xfId="0" applyNumberFormat="1" applyFont="1" applyFill="1" applyBorder="1" applyAlignment="1">
      <x:alignment horizontal="center" vertical="center"/>
    </x:xf>
    <x:xf numFmtId="202" fontId="10" fillId="9" borderId="11" xfId="0" applyNumberFormat="1" applyFont="1" applyFill="1" applyBorder="1"/>
    <x:xf numFmtId="202" fontId="10" fillId="9" borderId="12" xfId="0" applyNumberFormat="1" applyFont="1" applyFill="1" applyBorder="1"/>
    <x:xf numFmtId="202" fontId="10" fillId="9" borderId="13" xfId="0" applyNumberFormat="1" applyFont="1" applyFill="1" applyBorder="1"/>
    <x:xf numFmtId="202" fontId="10" fillId="9" borderId="14" xfId="0" applyNumberFormat="1" applyFont="1" applyFill="1" applyBorder="1"/>
    <x:xf numFmtId="202" fontId="10" fillId="9" borderId="15" xfId="0" applyNumberFormat="1" applyFont="1" applyFill="1" applyBorder="1"/>
    <x:xf numFmtId="202" fontId="10" fillId="9" borderId="16" xfId="0" applyNumberFormat="1" applyFont="1" applyFill="1" applyBorder="1"/>
    <x:xf numFmtId="202" fontId="10" fillId="9" borderId="11" xfId="0" applyNumberFormat="1" applyFont="1" applyFill="1" applyBorder="1" applyAlignment="1">
      <x:alignment horizontal="center"/>
    </x:xf>
    <x:xf numFmtId="202" fontId="10" fillId="9" borderId="12" xfId="0" applyNumberFormat="1" applyFont="1" applyFill="1" applyBorder="1" applyAlignment="1">
      <x:alignment horizontal="center"/>
    </x:xf>
    <x:xf numFmtId="202" fontId="10" fillId="9" borderId="13" xfId="0" applyNumberFormat="1" applyFont="1" applyFill="1" applyBorder="1" applyAlignment="1">
      <x:alignment horizontal="center"/>
    </x:xf>
    <x:xf numFmtId="202" fontId="10" fillId="9" borderId="14" xfId="0" applyNumberFormat="1" applyFont="1" applyFill="1" applyBorder="1" applyAlignment="1">
      <x:alignment horizontal="center"/>
    </x:xf>
    <x:xf numFmtId="202" fontId="10" fillId="9" borderId="15" xfId="0" applyNumberFormat="1" applyFont="1" applyFill="1" applyBorder="1" applyAlignment="1">
      <x:alignment horizontal="center"/>
    </x:xf>
    <x:xf numFmtId="202" fontId="10" fillId="9" borderId="16" xfId="0" applyNumberFormat="1" applyFont="1" applyFill="1" applyBorder="1" applyAlignment="1">
      <x:alignment horizontal="center"/>
    </x:xf>
    <x:xf numFmtId="202" fontId="10" fillId="9" borderId="11" xfId="0" applyNumberFormat="1" applyFont="1" applyFill="1" applyBorder="1" applyAlignment="1">
      <x:alignment horizontal="center" vertical="center"/>
    </x:xf>
    <x:xf numFmtId="202" fontId="10" fillId="9" borderId="12" xfId="0" applyNumberFormat="1" applyFont="1" applyFill="1" applyBorder="1" applyAlignment="1">
      <x:alignment horizontal="center" vertical="center"/>
    </x:xf>
    <x:xf numFmtId="202" fontId="10" fillId="9" borderId="13" xfId="0" applyNumberFormat="1" applyFont="1" applyFill="1" applyBorder="1" applyAlignment="1">
      <x:alignment horizontal="center" vertical="center"/>
    </x:xf>
    <x:xf numFmtId="202" fontId="10" fillId="9" borderId="14" xfId="0" applyNumberFormat="1" applyFont="1" applyFill="1" applyBorder="1" applyAlignment="1">
      <x:alignment horizontal="center" vertical="center"/>
    </x:xf>
    <x:xf numFmtId="202" fontId="10" fillId="9" borderId="15" xfId="0" applyNumberFormat="1" applyFont="1" applyFill="1" applyBorder="1" applyAlignment="1">
      <x:alignment horizontal="center" vertical="center"/>
    </x:xf>
    <x:xf numFmtId="202" fontId="10" fillId="9" borderId="16" xfId="0" applyNumberFormat="1" applyFont="1" applyFill="1" applyBorder="1" applyAlignment="1">
      <x:alignment horizontal="center" vertical="center"/>
    </x:xf>
    <x:xf numFmtId="203" fontId="10" fillId="9" borderId="11" xfId="0" applyNumberFormat="1" applyFont="1" applyFill="1" applyBorder="1"/>
    <x:xf numFmtId="203" fontId="10" fillId="9" borderId="12" xfId="0" applyNumberFormat="1" applyFont="1" applyFill="1" applyBorder="1"/>
    <x:xf numFmtId="203" fontId="10" fillId="9" borderId="13" xfId="0" applyNumberFormat="1" applyFont="1" applyFill="1" applyBorder="1"/>
    <x:xf numFmtId="203" fontId="10" fillId="9" borderId="14" xfId="0" applyNumberFormat="1" applyFont="1" applyFill="1" applyBorder="1"/>
    <x:xf numFmtId="203" fontId="10" fillId="9" borderId="15" xfId="0" applyNumberFormat="1" applyFont="1" applyFill="1" applyBorder="1"/>
    <x:xf numFmtId="203" fontId="10" fillId="9" borderId="16" xfId="0" applyNumberFormat="1" applyFont="1" applyFill="1" applyBorder="1"/>
    <x:xf numFmtId="203" fontId="10" fillId="9" borderId="11" xfId="0" applyNumberFormat="1" applyFont="1" applyFill="1" applyBorder="1" applyAlignment="1">
      <x:alignment horizontal="center"/>
    </x:xf>
    <x:xf numFmtId="203" fontId="10" fillId="9" borderId="12" xfId="0" applyNumberFormat="1" applyFont="1" applyFill="1" applyBorder="1" applyAlignment="1">
      <x:alignment horizontal="center"/>
    </x:xf>
    <x:xf numFmtId="203" fontId="10" fillId="9" borderId="13" xfId="0" applyNumberFormat="1" applyFont="1" applyFill="1" applyBorder="1" applyAlignment="1">
      <x:alignment horizontal="center"/>
    </x:xf>
    <x:xf numFmtId="203" fontId="10" fillId="9" borderId="14" xfId="0" applyNumberFormat="1" applyFont="1" applyFill="1" applyBorder="1" applyAlignment="1">
      <x:alignment horizontal="center"/>
    </x:xf>
    <x:xf numFmtId="203" fontId="10" fillId="9" borderId="15" xfId="0" applyNumberFormat="1" applyFont="1" applyFill="1" applyBorder="1" applyAlignment="1">
      <x:alignment horizontal="center"/>
    </x:xf>
    <x:xf numFmtId="203" fontId="10" fillId="9" borderId="16" xfId="0" applyNumberFormat="1" applyFont="1" applyFill="1" applyBorder="1" applyAlignment="1">
      <x:alignment horizontal="center"/>
    </x:xf>
    <x:xf numFmtId="203" fontId="10" fillId="9" borderId="11" xfId="0" applyNumberFormat="1" applyFont="1" applyFill="1" applyBorder="1" applyAlignment="1">
      <x:alignment horizontal="center" vertical="center"/>
    </x:xf>
    <x:xf numFmtId="203" fontId="10" fillId="9" borderId="12" xfId="0" applyNumberFormat="1" applyFont="1" applyFill="1" applyBorder="1" applyAlignment="1">
      <x:alignment horizontal="center" vertical="center"/>
    </x:xf>
    <x:xf numFmtId="203" fontId="10" fillId="9" borderId="13" xfId="0" applyNumberFormat="1" applyFont="1" applyFill="1" applyBorder="1" applyAlignment="1">
      <x:alignment horizontal="center" vertical="center"/>
    </x:xf>
    <x:xf numFmtId="203" fontId="10" fillId="9" borderId="14" xfId="0" applyNumberFormat="1" applyFont="1" applyFill="1" applyBorder="1" applyAlignment="1">
      <x:alignment horizontal="center" vertical="center"/>
    </x:xf>
    <x:xf numFmtId="203" fontId="10" fillId="9" borderId="15" xfId="0" applyNumberFormat="1" applyFont="1" applyFill="1" applyBorder="1" applyAlignment="1">
      <x:alignment horizontal="center" vertical="center"/>
    </x:xf>
    <x:xf numFmtId="203" fontId="10" fillId="9" borderId="16" xfId="0" applyNumberFormat="1" applyFont="1" applyFill="1" applyBorder="1" applyAlignment="1">
      <x:alignment horizontal="center" vertical="center"/>
    </x:xf>
    <x:xf numFmtId="0" fontId="11" fillId="8" borderId="0" xfId="0" applyNumberFormat="1" applyFont="1" applyFill="1" applyBorder="1"/>
    <x:xf numFmtId="0" fontId="11" fillId="8" borderId="8" xfId="0" applyNumberFormat="1" applyFont="1" applyFill="1" applyBorder="1"/>
    <x:xf numFmtId="0" fontId="11" fillId="8" borderId="9" xfId="0" applyNumberFormat="1" applyFont="1" applyFill="1" applyBorder="1"/>
    <x:xf numFmtId="0" fontId="11" fillId="8" borderId="10" xfId="0" applyNumberFormat="1" applyFont="1" applyFill="1" applyBorder="1"/>
    <x:xf numFmtId="0" fontId="11" fillId="8" borderId="8" xfId="0" applyNumberFormat="1" applyFont="1" applyFill="1" applyBorder="1" applyAlignment="1">
      <x:alignment horizontal="center"/>
    </x:xf>
    <x:xf numFmtId="0" fontId="11" fillId="8" borderId="9" xfId="0" applyNumberFormat="1" applyFont="1" applyFill="1" applyBorder="1" applyAlignment="1">
      <x:alignment horizontal="center"/>
    </x:xf>
    <x:xf numFmtId="0" fontId="11" fillId="8" borderId="1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/>
    <x:xf numFmtId="0" fontId="12" fillId="5" borderId="17" xfId="0" applyNumberFormat="1" applyFont="1" applyFill="1" applyBorder="1"/>
    <x:xf numFmtId="0" fontId="12" fillId="5" borderId="18" xfId="0" applyNumberFormat="1" applyFont="1" applyFill="1" applyBorder="1"/>
    <x:xf numFmtId="0" fontId="12" fillId="5" borderId="19" xfId="0" applyNumberFormat="1" applyFont="1" applyFill="1" applyBorder="1"/>
    <x:xf numFmtId="0" fontId="12" fillId="5" borderId="20" xfId="0" applyNumberFormat="1" applyFont="1" applyFill="1" applyBorder="1"/>
    <x:xf numFmtId="0" fontId="12" fillId="5" borderId="21" xfId="0" applyNumberFormat="1" applyFont="1" applyFill="1" applyBorder="1"/>
    <x:xf numFmtId="0" fontId="12" fillId="5" borderId="22" xfId="0" applyNumberFormat="1" applyFont="1" applyFill="1" applyBorder="1"/>
    <x:xf numFmtId="0" fontId="12" fillId="5" borderId="23" xfId="0" applyNumberFormat="1" applyFont="1" applyFill="1" applyBorder="1"/>
    <x:xf numFmtId="0" fontId="12" fillId="5" borderId="24" xfId="0" applyNumberFormat="1" applyFont="1" applyFill="1" applyBorder="1"/>
    <x:xf numFmtId="0" fontId="12" fillId="5" borderId="17" xfId="0" applyNumberFormat="1" applyFont="1" applyFill="1" applyBorder="1" applyAlignment="1">
      <x:alignment wrapText="1"/>
    </x:xf>
    <x:xf numFmtId="0" fontId="12" fillId="5" borderId="18" xfId="0" applyNumberFormat="1" applyFont="1" applyFill="1" applyBorder="1" applyAlignment="1">
      <x:alignment wrapText="1"/>
    </x:xf>
    <x:xf numFmtId="0" fontId="12" fillId="5" borderId="19" xfId="0" applyNumberFormat="1" applyFont="1" applyFill="1" applyBorder="1" applyAlignment="1">
      <x:alignment wrapText="1"/>
    </x:xf>
    <x:xf numFmtId="0" fontId="12" fillId="5" borderId="20" xfId="0" applyNumberFormat="1" applyFont="1" applyFill="1" applyBorder="1" applyAlignment="1">
      <x:alignment wrapText="1"/>
    </x:xf>
    <x:xf numFmtId="0" fontId="12" fillId="5" borderId="0" xfId="0" applyNumberFormat="1" applyFont="1" applyFill="1" applyBorder="1" applyAlignment="1">
      <x:alignment wrapText="1"/>
    </x:xf>
    <x:xf numFmtId="0" fontId="12" fillId="5" borderId="21" xfId="0" applyNumberFormat="1" applyFont="1" applyFill="1" applyBorder="1" applyAlignment="1">
      <x:alignment wrapText="1"/>
    </x:xf>
    <x:xf numFmtId="0" fontId="12" fillId="5" borderId="22" xfId="0" applyNumberFormat="1" applyFont="1" applyFill="1" applyBorder="1" applyAlignment="1">
      <x:alignment wrapText="1"/>
    </x:xf>
    <x:xf numFmtId="0" fontId="12" fillId="5" borderId="23" xfId="0" applyNumberFormat="1" applyFont="1" applyFill="1" applyBorder="1" applyAlignment="1">
      <x:alignment wrapText="1"/>
    </x:xf>
    <x:xf numFmtId="0" fontId="12" fillId="5" borderId="24" xfId="0" applyNumberFormat="1" applyFont="1" applyFill="1" applyBorder="1" applyAlignment="1">
      <x:alignment wrapText="1"/>
    </x:xf>
    <x:xf numFmtId="0" fontId="12" fillId="5" borderId="17" xfId="0" applyNumberFormat="1" applyFont="1" applyFill="1" applyBorder="1" applyAlignment="1">
      <x:alignment horizontal="center" wrapText="1"/>
    </x:xf>
    <x:xf numFmtId="0" fontId="12" fillId="5" borderId="18" xfId="0" applyNumberFormat="1" applyFont="1" applyFill="1" applyBorder="1" applyAlignment="1">
      <x:alignment horizontal="center" wrapText="1"/>
    </x:xf>
    <x:xf numFmtId="0" fontId="12" fillId="5" borderId="19" xfId="0" applyNumberFormat="1" applyFont="1" applyFill="1" applyBorder="1" applyAlignment="1">
      <x:alignment horizontal="center" wrapText="1"/>
    </x:xf>
    <x:xf numFmtId="0" fontId="12" fillId="5" borderId="20" xfId="0" applyNumberFormat="1" applyFont="1" applyFill="1" applyBorder="1" applyAlignment="1">
      <x:alignment horizontal="center" wrapText="1"/>
    </x:xf>
    <x:xf numFmtId="0" fontId="12" fillId="5" borderId="0" xfId="0" applyNumberFormat="1" applyFont="1" applyFill="1" applyBorder="1" applyAlignment="1">
      <x:alignment horizontal="center" wrapText="1"/>
    </x:xf>
    <x:xf numFmtId="0" fontId="12" fillId="5" borderId="21" xfId="0" applyNumberFormat="1" applyFont="1" applyFill="1" applyBorder="1" applyAlignment="1">
      <x:alignment horizontal="center" wrapText="1"/>
    </x:xf>
    <x:xf numFmtId="0" fontId="12" fillId="5" borderId="22" xfId="0" applyNumberFormat="1" applyFont="1" applyFill="1" applyBorder="1" applyAlignment="1">
      <x:alignment horizontal="center" wrapText="1"/>
    </x:xf>
    <x:xf numFmtId="0" fontId="12" fillId="5" borderId="23" xfId="0" applyNumberFormat="1" applyFont="1" applyFill="1" applyBorder="1" applyAlignment="1">
      <x:alignment horizontal="center" wrapText="1"/>
    </x:xf>
    <x:xf numFmtId="0" fontId="12" fillId="5" borderId="24" xfId="0" applyNumberFormat="1" applyFont="1" applyFill="1" applyBorder="1" applyAlignment="1">
      <x:alignment horizontal="center" wrapText="1"/>
    </x:xf>
    <x:xf numFmtId="0" fontId="12" fillId="5" borderId="17" xfId="0" applyNumberFormat="1" applyFont="1" applyFill="1" applyBorder="1" applyAlignment="1">
      <x:alignment horizontal="center" vertical="center" wrapText="1"/>
    </x:xf>
    <x:xf numFmtId="0" fontId="12" fillId="5" borderId="18" xfId="0" applyNumberFormat="1" applyFont="1" applyFill="1" applyBorder="1" applyAlignment="1">
      <x:alignment horizontal="center" vertical="center" wrapText="1"/>
    </x:xf>
    <x:xf numFmtId="0" fontId="12" fillId="5" borderId="19" xfId="0" applyNumberFormat="1" applyFont="1" applyFill="1" applyBorder="1" applyAlignment="1">
      <x:alignment horizontal="center" vertical="center" wrapText="1"/>
    </x:xf>
    <x:xf numFmtId="0" fontId="12" fillId="5" borderId="20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 applyAlignment="1">
      <x:alignment horizontal="center" vertical="center" wrapText="1"/>
    </x:xf>
    <x:xf numFmtId="0" fontId="12" fillId="5" borderId="21" xfId="0" applyNumberFormat="1" applyFont="1" applyFill="1" applyBorder="1" applyAlignment="1">
      <x:alignment horizontal="center" vertical="center" wrapText="1"/>
    </x:xf>
    <x:xf numFmtId="0" fontId="12" fillId="5" borderId="22" xfId="0" applyNumberFormat="1" applyFont="1" applyFill="1" applyBorder="1" applyAlignment="1">
      <x:alignment horizontal="center" vertical="center" wrapText="1"/>
    </x:xf>
    <x:xf numFmtId="0" fontId="12" fillId="5" borderId="23" xfId="0" applyNumberFormat="1" applyFont="1" applyFill="1" applyBorder="1" applyAlignment="1">
      <x:alignment horizontal="center" vertical="center" wrapText="1"/>
    </x:xf>
    <x:xf numFmtId="0" fontId="12" fillId="5" borderId="24" xfId="0" applyNumberFormat="1" applyFont="1" applyFill="1" applyBorder="1" applyAlignment="1">
      <x:alignment horizontal="center" vertical="center" wrapText="1"/>
    </x:xf>
    <x:xf numFmtId="0" fontId="13" fillId="3" borderId="0" xfId="0" applyNumberFormat="1" applyFont="1" applyFill="1" applyBorder="1"/>
    <x:xf numFmtId="0" fontId="13" fillId="3" borderId="11" xfId="0" applyNumberFormat="1" applyFont="1" applyFill="1" applyBorder="1"/>
    <x:xf numFmtId="0" fontId="13" fillId="3" borderId="25" xfId="0" applyNumberFormat="1" applyFont="1" applyFill="1" applyBorder="1"/>
    <x:xf numFmtId="0" fontId="13" fillId="3" borderId="12" xfId="0" applyNumberFormat="1" applyFont="1" applyFill="1" applyBorder="1"/>
    <x:xf numFmtId="0" fontId="13" fillId="3" borderId="15" xfId="0" applyNumberFormat="1" applyFont="1" applyFill="1" applyBorder="1"/>
    <x:xf numFmtId="0" fontId="13" fillId="3" borderId="26" xfId="0" applyNumberFormat="1" applyFont="1" applyFill="1" applyBorder="1"/>
    <x:xf numFmtId="0" fontId="13" fillId="3" borderId="16" xfId="0" applyNumberFormat="1" applyFont="1" applyFill="1" applyBorder="1"/>
    <x:xf numFmtId="0" fontId="13" fillId="3" borderId="11" xfId="0" applyNumberFormat="1" applyFont="1" applyFill="1" applyBorder="1" applyAlignment="1">
      <x:alignment wrapText="1"/>
    </x:xf>
    <x:xf numFmtId="0" fontId="13" fillId="3" borderId="25" xfId="0" applyNumberFormat="1" applyFont="1" applyFill="1" applyBorder="1" applyAlignment="1">
      <x:alignment wrapText="1"/>
    </x:xf>
    <x:xf numFmtId="0" fontId="13" fillId="3" borderId="12" xfId="0" applyNumberFormat="1" applyFont="1" applyFill="1" applyBorder="1" applyAlignment="1">
      <x:alignment wrapText="1"/>
    </x:xf>
    <x:xf numFmtId="0" fontId="13" fillId="3" borderId="15" xfId="0" applyNumberFormat="1" applyFont="1" applyFill="1" applyBorder="1" applyAlignment="1">
      <x:alignment wrapText="1"/>
    </x:xf>
    <x:xf numFmtId="0" fontId="13" fillId="3" borderId="26" xfId="0" applyNumberFormat="1" applyFont="1" applyFill="1" applyBorder="1" applyAlignment="1">
      <x:alignment wrapText="1"/>
    </x:xf>
    <x:xf numFmtId="0" fontId="13" fillId="3" borderId="16" xfId="0" applyNumberFormat="1" applyFont="1" applyFill="1" applyBorder="1" applyAlignment="1">
      <x:alignment wrapText="1"/>
    </x:xf>
    <x:xf numFmtId="0" fontId="14" fillId="0" borderId="0" xfId="0" applyNumberFormat="1" applyFont="1" applyFill="1" applyBorder="1"/>
    <x:xf numFmtId="0" fontId="15" fillId="8" borderId="8" xfId="0" applyNumberFormat="1" applyFont="1" applyFill="1" applyBorder="1" applyAlignment="1">
      <x:alignment horizontal="center" vertical="center"/>
    </x:xf>
    <x:xf numFmtId="0" fontId="15" fillId="8" borderId="10" xfId="0" applyNumberFormat="1" applyFont="1" applyFill="1" applyBorder="1" applyAlignment="1">
      <x:alignment horizontal="center" vertical="center"/>
    </x:xf>
    <x:xf numFmtId="201" fontId="16" fillId="9" borderId="11" xfId="0" applyNumberFormat="1" applyFont="1" applyFill="1" applyBorder="1" applyAlignment="1">
      <x:alignment horizontal="center" vertical="center"/>
    </x:xf>
    <x:xf numFmtId="201" fontId="16" fillId="9" borderId="12" xfId="0" applyNumberFormat="1" applyFont="1" applyFill="1" applyBorder="1" applyAlignment="1">
      <x:alignment horizontal="center" vertical="center"/>
    </x:xf>
    <x:xf numFmtId="204" fontId="16" fillId="9" borderId="11" xfId="0" applyNumberFormat="1" applyFont="1" applyFill="1" applyBorder="1" applyAlignment="1">
      <x:alignment horizontal="center" vertical="center"/>
    </x:xf>
    <x:xf numFmtId="204" fontId="16" fillId="9" borderId="12" xfId="0" applyNumberFormat="1" applyFont="1" applyFill="1" applyBorder="1" applyAlignment="1">
      <x:alignment horizontal="center" vertical="center"/>
    </x:xf>
    <x:xf numFmtId="205" fontId="16" fillId="9" borderId="11" xfId="0" applyNumberFormat="1" applyFont="1" applyFill="1" applyBorder="1" applyAlignment="1">
      <x:alignment horizontal="center" vertical="center"/>
    </x:xf>
    <x:xf numFmtId="205" fontId="16" fillId="9" borderId="12" xfId="0" applyNumberFormat="1" applyFont="1" applyFill="1" applyBorder="1" applyAlignment="1">
      <x:alignment horizontal="center" vertical="center"/>
    </x:xf>
    <x:xf numFmtId="202" fontId="16" fillId="9" borderId="11" xfId="0" applyNumberFormat="1" applyFont="1" applyFill="1" applyBorder="1" applyAlignment="1">
      <x:alignment horizontal="center" vertical="center"/>
    </x:xf>
    <x:xf numFmtId="202" fontId="16" fillId="9" borderId="12" xfId="0" applyNumberFormat="1" applyFont="1" applyFill="1" applyBorder="1" applyAlignment="1">
      <x:alignment horizontal="center" vertical="center"/>
    </x:xf>
    <x:xf numFmtId="203" fontId="16" fillId="9" borderId="11" xfId="0" applyNumberFormat="1" applyFont="1" applyFill="1" applyBorder="1" applyAlignment="1">
      <x:alignment horizontal="center" vertical="center"/>
    </x:xf>
    <x:xf numFmtId="203" fontId="16" fillId="9" borderId="12" xfId="0" applyNumberFormat="1" applyFont="1" applyFill="1" applyBorder="1" applyAlignment="1">
      <x:alignment horizontal="center" vertical="center"/>
    </x:xf>
    <x:xf numFmtId="201" fontId="16" fillId="9" borderId="13" xfId="0" applyNumberFormat="1" applyFont="1" applyFill="1" applyBorder="1" applyAlignment="1">
      <x:alignment horizontal="center" vertical="center"/>
    </x:xf>
    <x:xf numFmtId="201" fontId="16" fillId="9" borderId="14" xfId="0" applyNumberFormat="1" applyFont="1" applyFill="1" applyBorder="1" applyAlignment="1">
      <x:alignment horizontal="center" vertical="center"/>
    </x:xf>
    <x:xf numFmtId="204" fontId="16" fillId="9" borderId="13" xfId="0" applyNumberFormat="1" applyFont="1" applyFill="1" applyBorder="1" applyAlignment="1">
      <x:alignment horizontal="center" vertical="center"/>
    </x:xf>
    <x:xf numFmtId="204" fontId="16" fillId="9" borderId="14" xfId="0" applyNumberFormat="1" applyFont="1" applyFill="1" applyBorder="1" applyAlignment="1">
      <x:alignment horizontal="center" vertical="center"/>
    </x:xf>
    <x:xf numFmtId="205" fontId="16" fillId="9" borderId="13" xfId="0" applyNumberFormat="1" applyFont="1" applyFill="1" applyBorder="1" applyAlignment="1">
      <x:alignment horizontal="center" vertical="center"/>
    </x:xf>
    <x:xf numFmtId="205" fontId="16" fillId="9" borderId="14" xfId="0" applyNumberFormat="1" applyFont="1" applyFill="1" applyBorder="1" applyAlignment="1">
      <x:alignment horizontal="center" vertical="center"/>
    </x:xf>
    <x:xf numFmtId="202" fontId="16" fillId="9" borderId="13" xfId="0" applyNumberFormat="1" applyFont="1" applyFill="1" applyBorder="1" applyAlignment="1">
      <x:alignment horizontal="center" vertical="center"/>
    </x:xf>
    <x:xf numFmtId="202" fontId="16" fillId="9" borderId="14" xfId="0" applyNumberFormat="1" applyFont="1" applyFill="1" applyBorder="1" applyAlignment="1">
      <x:alignment horizontal="center" vertical="center"/>
    </x:xf>
    <x:xf numFmtId="203" fontId="16" fillId="9" borderId="13" xfId="0" applyNumberFormat="1" applyFont="1" applyFill="1" applyBorder="1" applyAlignment="1">
      <x:alignment horizontal="center" vertical="center"/>
    </x:xf>
    <x:xf numFmtId="203" fontId="16" fillId="9" borderId="14" xfId="0" applyNumberFormat="1" applyFont="1" applyFill="1" applyBorder="1" applyAlignment="1">
      <x:alignment horizontal="center" vertical="center"/>
    </x:xf>
    <x:xf numFmtId="201" fontId="16" fillId="9" borderId="15" xfId="0" applyNumberFormat="1" applyFont="1" applyFill="1" applyBorder="1" applyAlignment="1">
      <x:alignment horizontal="center" vertical="center"/>
    </x:xf>
    <x:xf numFmtId="201" fontId="16" fillId="9" borderId="16" xfId="0" applyNumberFormat="1" applyFont="1" applyFill="1" applyBorder="1" applyAlignment="1">
      <x:alignment horizontal="center" vertical="center"/>
    </x:xf>
    <x:xf numFmtId="204" fontId="16" fillId="9" borderId="15" xfId="0" applyNumberFormat="1" applyFont="1" applyFill="1" applyBorder="1" applyAlignment="1">
      <x:alignment horizontal="center" vertical="center"/>
    </x:xf>
    <x:xf numFmtId="204" fontId="16" fillId="9" borderId="16" xfId="0" applyNumberFormat="1" applyFont="1" applyFill="1" applyBorder="1" applyAlignment="1">
      <x:alignment horizontal="center" vertical="center"/>
    </x:xf>
    <x:xf numFmtId="205" fontId="16" fillId="9" borderId="15" xfId="0" applyNumberFormat="1" applyFont="1" applyFill="1" applyBorder="1" applyAlignment="1">
      <x:alignment horizontal="center" vertical="center"/>
    </x:xf>
    <x:xf numFmtId="205" fontId="16" fillId="9" borderId="16" xfId="0" applyNumberFormat="1" applyFont="1" applyFill="1" applyBorder="1" applyAlignment="1">
      <x:alignment horizontal="center" vertical="center"/>
    </x:xf>
    <x:xf numFmtId="202" fontId="16" fillId="9" borderId="15" xfId="0" applyNumberFormat="1" applyFont="1" applyFill="1" applyBorder="1" applyAlignment="1">
      <x:alignment horizontal="center" vertical="center"/>
    </x:xf>
    <x:xf numFmtId="202" fontId="16" fillId="9" borderId="16" xfId="0" applyNumberFormat="1" applyFont="1" applyFill="1" applyBorder="1" applyAlignment="1">
      <x:alignment horizontal="center" vertical="center"/>
    </x:xf>
    <x:xf numFmtId="203" fontId="16" fillId="9" borderId="15" xfId="0" applyNumberFormat="1" applyFont="1" applyFill="1" applyBorder="1" applyAlignment="1">
      <x:alignment horizontal="center" vertical="center"/>
    </x:xf>
    <x:xf numFmtId="203" fontId="16" fillId="9" borderId="16" xfId="0" applyNumberFormat="1" applyFont="1" applyFill="1" applyBorder="1" applyAlignment="1">
      <x:alignment horizontal="center" vertical="center"/>
    </x:xf>
    <x:xf numFmtId="0" fontId="17" fillId="8" borderId="8" xfId="0" applyNumberFormat="1" applyFont="1" applyFill="1" applyBorder="1" applyAlignment="1">
      <x:alignment horizontal="center"/>
    </x:xf>
    <x:xf numFmtId="0" fontId="17" fillId="8" borderId="9" xfId="0" applyNumberFormat="1" applyFont="1" applyFill="1" applyBorder="1" applyAlignment="1">
      <x:alignment horizontal="center"/>
    </x:xf>
    <x:xf numFmtId="0" fontId="17" fillId="8" borderId="10" xfId="0" applyNumberFormat="1" applyFont="1" applyFill="1" applyBorder="1" applyAlignment="1">
      <x:alignment horizontal="center"/>
    </x:xf>
    <x:xf numFmtId="0" fontId="18" fillId="5" borderId="17" xfId="0" applyNumberFormat="1" applyFont="1" applyFill="1" applyBorder="1" applyAlignment="1">
      <x:alignment horizontal="center" vertical="center" wrapText="1"/>
    </x:xf>
    <x:xf numFmtId="0" fontId="18" fillId="5" borderId="18" xfId="0" applyNumberFormat="1" applyFont="1" applyFill="1" applyBorder="1" applyAlignment="1">
      <x:alignment horizontal="center" vertical="center" wrapText="1"/>
    </x:xf>
    <x:xf numFmtId="0" fontId="18" fillId="5" borderId="19" xfId="0" applyNumberFormat="1" applyFont="1" applyFill="1" applyBorder="1" applyAlignment="1">
      <x:alignment horizontal="center" vertical="center" wrapText="1"/>
    </x:xf>
    <x:xf numFmtId="0" fontId="18" fillId="5" borderId="20" xfId="0" applyNumberFormat="1" applyFont="1" applyFill="1" applyBorder="1" applyAlignment="1">
      <x:alignment horizontal="center" vertical="center" wrapText="1"/>
    </x:xf>
    <x:xf numFmtId="0" fontId="18" fillId="5" borderId="0" xfId="0" applyNumberFormat="1" applyFont="1" applyFill="1" applyBorder="1" applyAlignment="1">
      <x:alignment horizontal="center" vertical="center" wrapText="1"/>
    </x:xf>
    <x:xf numFmtId="0" fontId="18" fillId="5" borderId="21" xfId="0" applyNumberFormat="1" applyFont="1" applyFill="1" applyBorder="1" applyAlignment="1">
      <x:alignment horizontal="center" vertical="center" wrapText="1"/>
    </x:xf>
    <x:xf numFmtId="0" fontId="18" fillId="5" borderId="22" xfId="0" applyNumberFormat="1" applyFont="1" applyFill="1" applyBorder="1" applyAlignment="1">
      <x:alignment horizontal="center" vertical="center" wrapText="1"/>
    </x:xf>
    <x:xf numFmtId="0" fontId="18" fillId="5" borderId="23" xfId="0" applyNumberFormat="1" applyFont="1" applyFill="1" applyBorder="1" applyAlignment="1">
      <x:alignment horizontal="center" vertical="center" wrapText="1"/>
    </x:xf>
    <x:xf numFmtId="0" fontId="18" fillId="5" borderId="24" xfId="0" applyNumberFormat="1" applyFont="1" applyFill="1" applyBorder="1" applyAlignment="1">
      <x:alignment horizontal="center" vertical="center" wrapText="1"/>
    </x:xf>
    <x:xf numFmtId="0" fontId="19" fillId="3" borderId="11" xfId="0" applyNumberFormat="1" applyFont="1" applyFill="1" applyBorder="1" applyAlignment="1">
      <x:alignment wrapText="1"/>
    </x:xf>
    <x:xf numFmtId="0" fontId="19" fillId="3" borderId="25" xfId="0" applyNumberFormat="1" applyFont="1" applyFill="1" applyBorder="1" applyAlignment="1">
      <x:alignment wrapText="1"/>
    </x:xf>
    <x:xf numFmtId="0" fontId="19" fillId="3" borderId="12" xfId="0" applyNumberFormat="1" applyFont="1" applyFill="1" applyBorder="1" applyAlignment="1">
      <x:alignment wrapText="1"/>
    </x:xf>
    <x:xf numFmtId="0" fontId="19" fillId="3" borderId="15" xfId="0" applyNumberFormat="1" applyFont="1" applyFill="1" applyBorder="1" applyAlignment="1">
      <x:alignment wrapText="1"/>
    </x:xf>
    <x:xf numFmtId="0" fontId="19" fillId="3" borderId="26" xfId="0" applyNumberFormat="1" applyFont="1" applyFill="1" applyBorder="1" applyAlignment="1">
      <x:alignment wrapText="1"/>
    </x:xf>
    <x:xf numFmtId="0" fontId="19" fillId="3" borderId="1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6661ea9e1f4224" /><Relationship Type="http://schemas.openxmlformats.org/officeDocument/2006/relationships/theme" Target="/xl/theme/theme1.xml" Id="R14623a3ab8e04a84" /><Relationship Type="http://schemas.openxmlformats.org/officeDocument/2006/relationships/sharedStrings" Target="/xl/sharedStrings.xml" Id="R925e75320dd646b2" /><Relationship Type="http://schemas.openxmlformats.org/officeDocument/2006/relationships/worksheet" Target="/xl/worksheets/sheet1.xml" Id="Ra89b0a5ebcff4779" /><Relationship Type="http://schemas.openxmlformats.org/officeDocument/2006/relationships/worksheet" Target="/xl/worksheets/sheet2.xml" Id="Ra8e6762b3d5d42ff" /><Relationship Type="http://schemas.openxmlformats.org/officeDocument/2006/relationships/worksheet" Target="/xl/worksheets/sheet3.xml" Id="R78f06d3f8f104b8f" /><Relationship Type="http://schemas.openxmlformats.org/officeDocument/2006/relationships/worksheet" Target="/xl/worksheets/sheet4.xml" Id="R06a8390cd9f848ee" /><Relationship Type="http://schemas.openxmlformats.org/officeDocument/2006/relationships/worksheet" Target="/xl/worksheets/sheet5.xml" Id="Re01d79dc3990491a" /><Relationship Type="http://schemas.openxmlformats.org/officeDocument/2006/relationships/worksheet" Target="/xl/worksheets/sheet6.xml" Id="R4ba3f636ca2b4d54" /><Relationship Type="http://schemas.openxmlformats.org/officeDocument/2006/relationships/worksheet" Target="/xl/worksheets/sheet7.xml" Id="R2e12fc759e8a446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bc1da7f55b499e" /><Relationship Type="http://schemas.openxmlformats.org/officeDocument/2006/relationships/chart" Target="/xl/drawings/charts/chart2.xml" Id="Rb2af144766344efc" /><Relationship Type="http://schemas.openxmlformats.org/officeDocument/2006/relationships/chart" Target="/xl/drawings/charts/chart3.xml" Id="R5b02cce9e60846f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Task Completion by Task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Completion rate</c:v>
          </c:tx>
          <c:spPr>
            <a:solidFill xmlns:a="http://schemas.openxmlformats.org/drawingml/2006/main">
              <a:srgbClr val="2E75B6"/>
            </a:solidFill>
          </c:spPr>
          <c:cat>
            <c:strRef>
              <c:f>'Task Analysis'!$B$4:$B$11</c:f>
              <c:strCache>
                <c:ptCount val="0"/>
              </c:strCache>
            </c:strRef>
          </c:cat>
          <c:val>
            <c:numRef>
              <c:f>'Task Analysis'!$H$4:$H$11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Mean Rating by Questionnaire Item (1–5)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Mean rating</c:v>
          </c:tx>
          <c:spPr>
            <a:solidFill xmlns:a="http://schemas.openxmlformats.org/drawingml/2006/main">
              <a:srgbClr val="0F6B78"/>
            </a:solidFill>
          </c:spPr>
          <c:cat>
            <c:strRef>
              <c:f>'Likert Analysis'!$B$4:$B$18</c:f>
              <c:strCache>
                <c:ptCount val="0"/>
              </c:strCache>
            </c:strRef>
          </c:cat>
          <c:val>
            <c:numRef>
              <c:f>'Likert Analysis'!$E$4:$E$18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Understanding-Check Accuracy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Correct rate</c:v>
          </c:tx>
          <c:spPr>
            <a:solidFill xmlns:a="http://schemas.openxmlformats.org/drawingml/2006/main">
              <a:srgbClr val="2F855A"/>
            </a:solidFill>
          </c:spPr>
          <c:cat>
            <c:strRef>
              <c:f>'Understanding'!$A$4:$A$6</c:f>
              <c:strCache>
                <c:ptCount val="0"/>
              </c:strCache>
            </c:strRef>
          </c:cat>
          <c:val>
            <c:numRef>
              <c:f>'Understanding'!$F$4:$F$6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bc1da7f55b499e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af144766344efc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8</xdr:col>
      <xdr:colOff>0</xdr:colOff>
      <xdr:row>47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02cce9e60846f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ResponsesTable" displayName="RawResponsesTable" ref="A3:AK18" headerRowCount="1" totalsRowCount="0" totalsRowShown="0">
  <x:tableColumns count="37">
    <x:tableColumn id="1" name="Participant Code"/>
    <x:tableColumn id="2" name="Session Date"/>
    <x:tableColumn id="3" name="Primary Background"/>
    <x:tableColumn id="4" name="Platform Experience"/>
    <x:tableColumn id="5" name="Session Minutes"/>
    <x:tableColumn id="6" name="Task 1"/>
    <x:tableColumn id="7" name="Task 2"/>
    <x:tableColumn id="8" name="Task 3"/>
    <x:tableColumn id="9" name="Task 4"/>
    <x:tableColumn id="10" name="Task 5"/>
    <x:tableColumn id="11" name="Task 6"/>
    <x:tableColumn id="12" name="Task 7"/>
    <x:tableColumn id="13" name="Task 8"/>
    <x:tableColumn id="14" name="Likert 1"/>
    <x:tableColumn id="15" name="Likert 2"/>
    <x:tableColumn id="16" name="Likert 3"/>
    <x:tableColumn id="17" name="Likert 4"/>
    <x:tableColumn id="18" name="Likert 5"/>
    <x:tableColumn id="19" name="Likert 6"/>
    <x:tableColumn id="20" name="Likert 7"/>
    <x:tableColumn id="21" name="Likert 8"/>
    <x:tableColumn id="22" name="Likert 9"/>
    <x:tableColumn id="23" name="Likert 10"/>
    <x:tableColumn id="24" name="Likert 11"/>
    <x:tableColumn id="25" name="Likert 12"/>
    <x:tableColumn id="26" name="Likert 13"/>
    <x:tableColumn id="27" name="Likert 14"/>
    <x:tableColumn id="28" name="Likert 15"/>
    <x:tableColumn id="29" name="Understanding Q1"/>
    <x:tableColumn id="30" name="Understanding Q2"/>
    <x:tableColumn id="31" name="Understanding Q3"/>
    <x:tableColumn id="32" name="Most Useful"/>
    <x:tableColumn id="33" name="Confusing / Slow"/>
    <x:tableColumn id="34" name="Over-certain Wording"/>
    <x:tableColumn id="35" name="Suggested Improvement"/>
    <x:tableColumn id="36" name="Other Comments"/>
    <x:tableColumn id="37" name="Moderator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skAnalysisTable" displayName="TaskAnalysisTable" ref="A3:I11" headerRowCount="1" totalsRowCount="0" totalsRowShown="0">
  <x:tableColumns count="9">
    <x:tableColumn id="1" name="Task"/>
    <x:tableColumn id="2" name="Short Label"/>
    <x:tableColumn id="3" name="Task Prompt"/>
    <x:tableColumn id="4" name="No Help"/>
    <x:tableColumn id="5" name="Some Help"/>
    <x:tableColumn id="6" name="Not Completed"/>
    <x:tableColumn id="7" name="Recorded"/>
    <x:tableColumn id="8" name="Completion Rate"/>
    <x:tableColumn id="9" name="Independent R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ikertAnalysisTable" displayName="LikertAnalysisTable" ref="A3:G18" headerRowCount="1" totalsRowCount="0" totalsRowShown="0">
  <x:tableColumns count="7">
    <x:tableColumn id="1" name="Item"/>
    <x:tableColumn id="2" name="Short Label"/>
    <x:tableColumn id="3" name="Construct"/>
    <x:tableColumn id="4" name="Responses"/>
    <x:tableColumn id="5" name="Mean (1–5)"/>
    <x:tableColumn id="6" name="Agree Count (4–5)"/>
    <x:tableColumn id="7" name="Agree R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c58761565740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58e71cbd2a949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5e13e8f395947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83a10fa47e5240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8" hidden="0" customWidth="1"/>
  </x:cols>
  <x:sheetData>
    <x:row r="1" ht="34" customHeight="1">
      <x:c r="A1" s="4" t="str">
        <x:v>VSA Advisor Bot — User-Study Analysis Workbook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Use only with genuine signed-consent participants. Raw responses remain separate from formula-driven analysis.</x:v>
      </x:c>
      <x:c r="B2" s="8"/>
      <x:c r="C2" s="8"/>
      <x:c r="D2" s="8"/>
      <x:c r="E2" s="8"/>
      <x:c r="F2" s="8"/>
      <x:c r="G2" s="8"/>
      <x:c r="H2" s="8"/>
    </x:row>
    <x:row r="4" ht="32" customHeight="1">
      <x:c r="A4" s="14" t="str">
        <x:v>Purpose</x:v>
      </x:c>
      <x:c r="B4" s="15" t="str">
        <x:v>Analyse the 10–15 target-user sessions requested by the examiner.</x:v>
      </x:c>
    </x:row>
    <x:row r="5" ht="32" customHeight="1">
      <x:c r="A5" s="14" t="str">
        <x:v>Step 1</x:v>
      </x:c>
      <x:c r="B5" s="15" t="str">
        <x:v>Complete the separate signed consent form before testing.</x:v>
      </x:c>
    </x:row>
    <x:row r="6" ht="32" customHeight="1">
      <x:c r="A6" s="14" t="str">
        <x:v>Step 2</x:v>
      </x:c>
      <x:c r="B6" s="15" t="str">
        <x:v>Enter one participant per row in Raw Responses; use only codes P01–P15.</x:v>
      </x:c>
    </x:row>
    <x:row r="7" ht="32" customHeight="1">
      <x:c r="A7" s="14" t="str">
        <x:v>Step 3</x:v>
      </x:c>
      <x:c r="B7" s="15" t="str">
        <x:v>Choose task outcomes and questionnaire answers from the dropdowns.</x:v>
      </x:c>
    </x:row>
    <x:row r="8" ht="32" customHeight="1">
      <x:c r="A8" s="14" t="str">
        <x:v>Step 4</x:v>
      </x:c>
      <x:c r="B8" s="15" t="str">
        <x:v>Check the Dashboard, Task Analysis, Likert Analysis and Understanding sheets.</x:v>
      </x:c>
    </x:row>
    <x:row r="9" ht="32" customHeight="1">
      <x:c r="A9" s="14" t="str">
        <x:v>Privacy</x:v>
      </x:c>
      <x:c r="B9" s="15" t="str">
        <x:v>Store signed consent forms separately. Do not enter names, signatures, credentials or financial details here.</x:v>
      </x:c>
    </x:row>
    <x:row r="10" ht="32" customHeight="1">
      <x:c r="A10" s="14" t="str">
        <x:v>Sample</x:v>
      </x:c>
      <x:c r="B10" s="15" t="str">
        <x:v>Target 10–15 adults, prioritising novice/interested traders and finance, business or computing students.</x:v>
      </x:c>
    </x:row>
    <x:row r="11" ht="32" customHeight="1">
      <x:c r="A11" s="14" t="str">
        <x:v>Interpretation</x:v>
      </x:c>
      <x:c r="B11" s="15" t="str">
        <x:v>Describe the sample and limitations honestly; do not generalise beyond the participants.</x:v>
      </x:c>
    </x:row>
    <x:row r="12" ht="32" customHeight="1">
      <x:c r="A12" s="14" t="str">
        <x:v>Reporting</x:v>
      </x:c>
      <x:c r="B12" s="15" t="str">
        <x:v>Use aggregate statistics and anonymised quotations only.</x:v>
      </x:c>
    </x:row>
    <x:row r="13" ht="32" customHeight="1"/>
    <x:row r="14" ht="32" customHeight="1">
      <x:c r="A14" s="21" t="str">
        <x:v>Important: blank cells mean no response. The workbook never substitutes fabricated participant data.</x:v>
      </x:c>
      <x:c r="B14" s="22"/>
      <x:c r="C14" s="22"/>
      <x:c r="D14" s="22"/>
      <x:c r="E14" s="22"/>
      <x:c r="F14" s="22"/>
      <x:c r="G14" s="22"/>
      <x:c r="H14" s="23"/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23" hidden="0" customWidth="1"/>
    <x:col min="4" max="4" width="23" hidden="0" customWidth="1"/>
    <x:col min="5" max="5" width="13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6" hidden="0" customWidth="1"/>
    <x:col min="30" max="30" width="16" hidden="0" customWidth="1"/>
    <x:col min="31" max="31" width="16" hidden="0" customWidth="1"/>
    <x:col min="32" max="32" width="31" hidden="0" customWidth="1"/>
    <x:col min="33" max="33" width="31" hidden="0" customWidth="1"/>
    <x:col min="34" max="34" width="31" hidden="0" customWidth="1"/>
    <x:col min="35" max="35" width="31" hidden="0" customWidth="1"/>
    <x:col min="36" max="36" width="31" hidden="0" customWidth="1"/>
    <x:col min="37" max="37" width="31" hidden="0" customWidth="1"/>
  </x:cols>
  <x:sheetData>
    <x:row r="1" ht="34" customHeight="1">
      <x:c r="A1" s="4" t="str">
        <x:v>Raw Responses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</x:row>
    <x:row r="2" ht="28" customHeight="1">
      <x:c r="A2" s="8" t="str">
        <x:v>One row per participant. Blue cells are controlled inputs; free-text comments remain anonymised.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</x:row>
    <x:row r="3" ht="44" customHeight="1">
      <x:c r="A3" s="27" t="str">
        <x:v>Participant Code</x:v>
      </x:c>
      <x:c r="B3" s="27" t="str">
        <x:v>Session Date</x:v>
      </x:c>
      <x:c r="C3" s="27" t="str">
        <x:v>Primary Background</x:v>
      </x:c>
      <x:c r="D3" s="27" t="str">
        <x:v>Platform Experience</x:v>
      </x:c>
      <x:c r="E3" s="27" t="str">
        <x:v>Session Minutes</x:v>
      </x:c>
      <x:c r="F3" s="27" t="str">
        <x:v>Task 1</x:v>
      </x:c>
      <x:c r="G3" s="27" t="str">
        <x:v>Task 2</x:v>
      </x:c>
      <x:c r="H3" s="27" t="str">
        <x:v>Task 3</x:v>
      </x:c>
      <x:c r="I3" s="27" t="str">
        <x:v>Task 4</x:v>
      </x:c>
      <x:c r="J3" s="27" t="str">
        <x:v>Task 5</x:v>
      </x:c>
      <x:c r="K3" s="27" t="str">
        <x:v>Task 6</x:v>
      </x:c>
      <x:c r="L3" s="27" t="str">
        <x:v>Task 7</x:v>
      </x:c>
      <x:c r="M3" s="27" t="str">
        <x:v>Task 8</x:v>
      </x:c>
      <x:c r="N3" s="27" t="str">
        <x:v>Likert 1</x:v>
      </x:c>
      <x:c r="O3" s="27" t="str">
        <x:v>Likert 2</x:v>
      </x:c>
      <x:c r="P3" s="27" t="str">
        <x:v>Likert 3</x:v>
      </x:c>
      <x:c r="Q3" s="27" t="str">
        <x:v>Likert 4</x:v>
      </x:c>
      <x:c r="R3" s="27" t="str">
        <x:v>Likert 5</x:v>
      </x:c>
      <x:c r="S3" s="27" t="str">
        <x:v>Likert 6</x:v>
      </x:c>
      <x:c r="T3" s="27" t="str">
        <x:v>Likert 7</x:v>
      </x:c>
      <x:c r="U3" s="27" t="str">
        <x:v>Likert 8</x:v>
      </x:c>
      <x:c r="V3" s="27" t="str">
        <x:v>Likert 9</x:v>
      </x:c>
      <x:c r="W3" s="27" t="str">
        <x:v>Likert 10</x:v>
      </x:c>
      <x:c r="X3" s="27" t="str">
        <x:v>Likert 11</x:v>
      </x:c>
      <x:c r="Y3" s="27" t="str">
        <x:v>Likert 12</x:v>
      </x:c>
      <x:c r="Z3" s="27" t="str">
        <x:v>Likert 13</x:v>
      </x:c>
      <x:c r="AA3" s="27" t="str">
        <x:v>Likert 14</x:v>
      </x:c>
      <x:c r="AB3" s="27" t="str">
        <x:v>Likert 15</x:v>
      </x:c>
      <x:c r="AC3" s="27" t="str">
        <x:v>Understanding Q1</x:v>
      </x:c>
      <x:c r="AD3" s="27" t="str">
        <x:v>Understanding Q2</x:v>
      </x:c>
      <x:c r="AE3" s="27" t="str">
        <x:v>Understanding Q3</x:v>
      </x:c>
      <x:c r="AF3" s="27" t="str">
        <x:v>Most Useful</x:v>
      </x:c>
      <x:c r="AG3" s="27" t="str">
        <x:v>Confusing / Slow</x:v>
      </x:c>
      <x:c r="AH3" s="27" t="str">
        <x:v>Over-certain Wording</x:v>
      </x:c>
      <x:c r="AI3" s="27" t="str">
        <x:v>Suggested Improvement</x:v>
      </x:c>
      <x:c r="AJ3" s="27" t="str">
        <x:v>Other Comments</x:v>
      </x:c>
      <x:c r="AK3" s="27" t="str">
        <x:v>Moderator Notes</x:v>
      </x:c>
    </x:row>
    <x:row r="4" ht="36" customHeight="1">
      <x:c r="A4" s="50" t="str">
        <x:v>P01</x:v>
      </x:c>
      <x:c r="B4" s="51"/>
      <x:c r="C4" s="52"/>
      <x:c r="D4" s="52"/>
      <x:c r="E4" s="53"/>
      <x:c r="F4" s="52"/>
      <x:c r="G4" s="52"/>
      <x:c r="H4" s="52"/>
      <x:c r="I4" s="52"/>
      <x:c r="J4" s="52"/>
      <x:c r="K4" s="52"/>
      <x:c r="L4" s="52"/>
      <x:c r="M4" s="52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  <x:c r="AA4" s="53"/>
      <x:c r="AB4" s="53"/>
      <x:c r="AC4" s="52"/>
      <x:c r="AD4" s="52"/>
      <x:c r="AE4" s="52"/>
      <x:c r="AF4" s="50"/>
      <x:c r="AG4" s="50"/>
      <x:c r="AH4" s="50"/>
      <x:c r="AI4" s="50"/>
      <x:c r="AJ4" s="50"/>
      <x:c r="AK4" s="50"/>
    </x:row>
    <x:row r="5" ht="36" customHeight="1">
      <x:c r="A5" s="54" t="str">
        <x:v>P02</x:v>
      </x:c>
      <x:c r="B5" s="55"/>
      <x:c r="C5" s="56"/>
      <x:c r="D5" s="56"/>
      <x:c r="E5" s="57"/>
      <x:c r="F5" s="56"/>
      <x:c r="G5" s="56"/>
      <x:c r="H5" s="56"/>
      <x:c r="I5" s="56"/>
      <x:c r="J5" s="56"/>
      <x:c r="K5" s="56"/>
      <x:c r="L5" s="56"/>
      <x:c r="M5" s="56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  <x:c r="AA5" s="57"/>
      <x:c r="AB5" s="57"/>
      <x:c r="AC5" s="56"/>
      <x:c r="AD5" s="56"/>
      <x:c r="AE5" s="56"/>
      <x:c r="AF5" s="54"/>
      <x:c r="AG5" s="54"/>
      <x:c r="AH5" s="54"/>
      <x:c r="AI5" s="54"/>
      <x:c r="AJ5" s="54"/>
      <x:c r="AK5" s="54"/>
    </x:row>
    <x:row r="6" ht="36" customHeight="1">
      <x:c r="A6" s="54" t="str">
        <x:v>P03</x:v>
      </x:c>
      <x:c r="B6" s="55"/>
      <x:c r="C6" s="56"/>
      <x:c r="D6" s="56"/>
      <x:c r="E6" s="57"/>
      <x:c r="F6" s="56"/>
      <x:c r="G6" s="56"/>
      <x:c r="H6" s="56"/>
      <x:c r="I6" s="56"/>
      <x:c r="J6" s="56"/>
      <x:c r="K6" s="56"/>
      <x:c r="L6" s="56"/>
      <x:c r="M6" s="56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  <x:c r="AA6" s="57"/>
      <x:c r="AB6" s="57"/>
      <x:c r="AC6" s="56"/>
      <x:c r="AD6" s="56"/>
      <x:c r="AE6" s="56"/>
      <x:c r="AF6" s="54"/>
      <x:c r="AG6" s="54"/>
      <x:c r="AH6" s="54"/>
      <x:c r="AI6" s="54"/>
      <x:c r="AJ6" s="54"/>
      <x:c r="AK6" s="54"/>
    </x:row>
    <x:row r="7" ht="36" customHeight="1">
      <x:c r="A7" s="54" t="str">
        <x:v>P04</x:v>
      </x:c>
      <x:c r="B7" s="55"/>
      <x:c r="C7" s="56"/>
      <x:c r="D7" s="56"/>
      <x:c r="E7" s="57"/>
      <x:c r="F7" s="56"/>
      <x:c r="G7" s="56"/>
      <x:c r="H7" s="56"/>
      <x:c r="I7" s="56"/>
      <x:c r="J7" s="56"/>
      <x:c r="K7" s="56"/>
      <x:c r="L7" s="56"/>
      <x:c r="M7" s="56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  <x:c r="AA7" s="57"/>
      <x:c r="AB7" s="57"/>
      <x:c r="AC7" s="56"/>
      <x:c r="AD7" s="56"/>
      <x:c r="AE7" s="56"/>
      <x:c r="AF7" s="54"/>
      <x:c r="AG7" s="54"/>
      <x:c r="AH7" s="54"/>
      <x:c r="AI7" s="54"/>
      <x:c r="AJ7" s="54"/>
      <x:c r="AK7" s="54"/>
    </x:row>
    <x:row r="8" ht="36" customHeight="1">
      <x:c r="A8" s="54" t="str">
        <x:v>P05</x:v>
      </x:c>
      <x:c r="B8" s="55"/>
      <x:c r="C8" s="56"/>
      <x:c r="D8" s="56"/>
      <x:c r="E8" s="57"/>
      <x:c r="F8" s="56"/>
      <x:c r="G8" s="56"/>
      <x:c r="H8" s="56"/>
      <x:c r="I8" s="56"/>
      <x:c r="J8" s="56"/>
      <x:c r="K8" s="56"/>
      <x:c r="L8" s="56"/>
      <x:c r="M8" s="56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6"/>
      <x:c r="AD8" s="56"/>
      <x:c r="AE8" s="56"/>
      <x:c r="AF8" s="54"/>
      <x:c r="AG8" s="54"/>
      <x:c r="AH8" s="54"/>
      <x:c r="AI8" s="54"/>
      <x:c r="AJ8" s="54"/>
      <x:c r="AK8" s="54"/>
    </x:row>
    <x:row r="9" ht="36" customHeight="1">
      <x:c r="A9" s="54" t="str">
        <x:v>P06</x:v>
      </x:c>
      <x:c r="B9" s="55"/>
      <x:c r="C9" s="56"/>
      <x:c r="D9" s="56"/>
      <x:c r="E9" s="57"/>
      <x:c r="F9" s="56"/>
      <x:c r="G9" s="56"/>
      <x:c r="H9" s="56"/>
      <x:c r="I9" s="56"/>
      <x:c r="J9" s="56"/>
      <x:c r="K9" s="56"/>
      <x:c r="L9" s="56"/>
      <x:c r="M9" s="56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  <x:c r="AA9" s="57"/>
      <x:c r="AB9" s="57"/>
      <x:c r="AC9" s="56"/>
      <x:c r="AD9" s="56"/>
      <x:c r="AE9" s="56"/>
      <x:c r="AF9" s="54"/>
      <x:c r="AG9" s="54"/>
      <x:c r="AH9" s="54"/>
      <x:c r="AI9" s="54"/>
      <x:c r="AJ9" s="54"/>
      <x:c r="AK9" s="54"/>
    </x:row>
    <x:row r="10" ht="36" customHeight="1">
      <x:c r="A10" s="54" t="str">
        <x:v>P07</x:v>
      </x:c>
      <x:c r="B10" s="55"/>
      <x:c r="C10" s="56"/>
      <x:c r="D10" s="56"/>
      <x:c r="E10" s="57"/>
      <x:c r="F10" s="56"/>
      <x:c r="G10" s="56"/>
      <x:c r="H10" s="56"/>
      <x:c r="I10" s="56"/>
      <x:c r="J10" s="56"/>
      <x:c r="K10" s="56"/>
      <x:c r="L10" s="56"/>
      <x:c r="M10" s="56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  <x:c r="AA10" s="57"/>
      <x:c r="AB10" s="57"/>
      <x:c r="AC10" s="56"/>
      <x:c r="AD10" s="56"/>
      <x:c r="AE10" s="56"/>
      <x:c r="AF10" s="54"/>
      <x:c r="AG10" s="54"/>
      <x:c r="AH10" s="54"/>
      <x:c r="AI10" s="54"/>
      <x:c r="AJ10" s="54"/>
      <x:c r="AK10" s="54"/>
    </x:row>
    <x:row r="11" ht="36" customHeight="1">
      <x:c r="A11" s="54" t="str">
        <x:v>P08</x:v>
      </x:c>
      <x:c r="B11" s="55"/>
      <x:c r="C11" s="56"/>
      <x:c r="D11" s="56"/>
      <x:c r="E11" s="57"/>
      <x:c r="F11" s="56"/>
      <x:c r="G11" s="56"/>
      <x:c r="H11" s="56"/>
      <x:c r="I11" s="56"/>
      <x:c r="J11" s="56"/>
      <x:c r="K11" s="56"/>
      <x:c r="L11" s="56"/>
      <x:c r="M11" s="56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  <x:c r="AA11" s="57"/>
      <x:c r="AB11" s="57"/>
      <x:c r="AC11" s="56"/>
      <x:c r="AD11" s="56"/>
      <x:c r="AE11" s="56"/>
      <x:c r="AF11" s="54"/>
      <x:c r="AG11" s="54"/>
      <x:c r="AH11" s="54"/>
      <x:c r="AI11" s="54"/>
      <x:c r="AJ11" s="54"/>
      <x:c r="AK11" s="54"/>
    </x:row>
    <x:row r="12" ht="36" customHeight="1">
      <x:c r="A12" s="54" t="str">
        <x:v>P09</x:v>
      </x:c>
      <x:c r="B12" s="55"/>
      <x:c r="C12" s="56"/>
      <x:c r="D12" s="56"/>
      <x:c r="E12" s="57"/>
      <x:c r="F12" s="56"/>
      <x:c r="G12" s="56"/>
      <x:c r="H12" s="56"/>
      <x:c r="I12" s="56"/>
      <x:c r="J12" s="56"/>
      <x:c r="K12" s="56"/>
      <x:c r="L12" s="56"/>
      <x:c r="M12" s="56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  <x:c r="AA12" s="57"/>
      <x:c r="AB12" s="57"/>
      <x:c r="AC12" s="56"/>
      <x:c r="AD12" s="56"/>
      <x:c r="AE12" s="56"/>
      <x:c r="AF12" s="54"/>
      <x:c r="AG12" s="54"/>
      <x:c r="AH12" s="54"/>
      <x:c r="AI12" s="54"/>
      <x:c r="AJ12" s="54"/>
      <x:c r="AK12" s="54"/>
    </x:row>
    <x:row r="13" ht="36" customHeight="1">
      <x:c r="A13" s="54" t="str">
        <x:v>P10</x:v>
      </x:c>
      <x:c r="B13" s="55"/>
      <x:c r="C13" s="56"/>
      <x:c r="D13" s="56"/>
      <x:c r="E13" s="57"/>
      <x:c r="F13" s="56"/>
      <x:c r="G13" s="56"/>
      <x:c r="H13" s="56"/>
      <x:c r="I13" s="56"/>
      <x:c r="J13" s="56"/>
      <x:c r="K13" s="56"/>
      <x:c r="L13" s="56"/>
      <x:c r="M13" s="56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  <x:c r="AA13" s="57"/>
      <x:c r="AB13" s="57"/>
      <x:c r="AC13" s="56"/>
      <x:c r="AD13" s="56"/>
      <x:c r="AE13" s="56"/>
      <x:c r="AF13" s="54"/>
      <x:c r="AG13" s="54"/>
      <x:c r="AH13" s="54"/>
      <x:c r="AI13" s="54"/>
      <x:c r="AJ13" s="54"/>
      <x:c r="AK13" s="54"/>
    </x:row>
    <x:row r="14" ht="36" customHeight="1">
      <x:c r="A14" s="54" t="str">
        <x:v>P11</x:v>
      </x:c>
      <x:c r="B14" s="55"/>
      <x:c r="C14" s="56"/>
      <x:c r="D14" s="56"/>
      <x:c r="E14" s="57"/>
      <x:c r="F14" s="56"/>
      <x:c r="G14" s="56"/>
      <x:c r="H14" s="56"/>
      <x:c r="I14" s="56"/>
      <x:c r="J14" s="56"/>
      <x:c r="K14" s="56"/>
      <x:c r="L14" s="56"/>
      <x:c r="M14" s="56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  <x:c r="AA14" s="57"/>
      <x:c r="AB14" s="57"/>
      <x:c r="AC14" s="56"/>
      <x:c r="AD14" s="56"/>
      <x:c r="AE14" s="56"/>
      <x:c r="AF14" s="54"/>
      <x:c r="AG14" s="54"/>
      <x:c r="AH14" s="54"/>
      <x:c r="AI14" s="54"/>
      <x:c r="AJ14" s="54"/>
      <x:c r="AK14" s="54"/>
    </x:row>
    <x:row r="15" ht="36" customHeight="1">
      <x:c r="A15" s="54" t="str">
        <x:v>P12</x:v>
      </x:c>
      <x:c r="B15" s="55"/>
      <x:c r="C15" s="56"/>
      <x:c r="D15" s="56"/>
      <x:c r="E15" s="57"/>
      <x:c r="F15" s="56"/>
      <x:c r="G15" s="56"/>
      <x:c r="H15" s="56"/>
      <x:c r="I15" s="56"/>
      <x:c r="J15" s="56"/>
      <x:c r="K15" s="56"/>
      <x:c r="L15" s="56"/>
      <x:c r="M15" s="56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  <x:c r="AA15" s="57"/>
      <x:c r="AB15" s="57"/>
      <x:c r="AC15" s="56"/>
      <x:c r="AD15" s="56"/>
      <x:c r="AE15" s="56"/>
      <x:c r="AF15" s="54"/>
      <x:c r="AG15" s="54"/>
      <x:c r="AH15" s="54"/>
      <x:c r="AI15" s="54"/>
      <x:c r="AJ15" s="54"/>
      <x:c r="AK15" s="54"/>
    </x:row>
    <x:row r="16" ht="36" customHeight="1">
      <x:c r="A16" s="54" t="str">
        <x:v>P13</x:v>
      </x:c>
      <x:c r="B16" s="55"/>
      <x:c r="C16" s="56"/>
      <x:c r="D16" s="56"/>
      <x:c r="E16" s="57"/>
      <x:c r="F16" s="56"/>
      <x:c r="G16" s="56"/>
      <x:c r="H16" s="56"/>
      <x:c r="I16" s="56"/>
      <x:c r="J16" s="56"/>
      <x:c r="K16" s="56"/>
      <x:c r="L16" s="56"/>
      <x:c r="M16" s="56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  <x:c r="AA16" s="57"/>
      <x:c r="AB16" s="57"/>
      <x:c r="AC16" s="56"/>
      <x:c r="AD16" s="56"/>
      <x:c r="AE16" s="56"/>
      <x:c r="AF16" s="54"/>
      <x:c r="AG16" s="54"/>
      <x:c r="AH16" s="54"/>
      <x:c r="AI16" s="54"/>
      <x:c r="AJ16" s="54"/>
      <x:c r="AK16" s="54"/>
    </x:row>
    <x:row r="17" ht="36" customHeight="1">
      <x:c r="A17" s="54" t="str">
        <x:v>P14</x:v>
      </x:c>
      <x:c r="B17" s="55"/>
      <x:c r="C17" s="56"/>
      <x:c r="D17" s="56"/>
      <x:c r="E17" s="57"/>
      <x:c r="F17" s="56"/>
      <x:c r="G17" s="56"/>
      <x:c r="H17" s="56"/>
      <x:c r="I17" s="56"/>
      <x:c r="J17" s="56"/>
      <x:c r="K17" s="56"/>
      <x:c r="L17" s="56"/>
      <x:c r="M17" s="56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  <x:c r="AA17" s="57"/>
      <x:c r="AB17" s="57"/>
      <x:c r="AC17" s="56"/>
      <x:c r="AD17" s="56"/>
      <x:c r="AE17" s="56"/>
      <x:c r="AF17" s="54"/>
      <x:c r="AG17" s="54"/>
      <x:c r="AH17" s="54"/>
      <x:c r="AI17" s="54"/>
      <x:c r="AJ17" s="54"/>
      <x:c r="AK17" s="54"/>
    </x:row>
    <x:row r="18" ht="36" customHeight="1">
      <x:c r="A18" s="58" t="str">
        <x:v>P15</x:v>
      </x:c>
      <x:c r="B18" s="59"/>
      <x:c r="C18" s="60"/>
      <x:c r="D18" s="60"/>
      <x:c r="E18" s="61"/>
      <x:c r="F18" s="60"/>
      <x:c r="G18" s="60"/>
      <x:c r="H18" s="60"/>
      <x:c r="I18" s="60"/>
      <x:c r="J18" s="60"/>
      <x:c r="K18" s="60"/>
      <x:c r="L18" s="60"/>
      <x:c r="M18" s="60"/>
      <x:c r="N18" s="61"/>
      <x:c r="O18" s="61"/>
      <x:c r="P18" s="61"/>
      <x:c r="Q18" s="61"/>
      <x:c r="R18" s="61"/>
      <x:c r="S18" s="61"/>
      <x:c r="T18" s="61"/>
      <x:c r="U18" s="61"/>
      <x:c r="V18" s="61"/>
      <x:c r="W18" s="61"/>
      <x:c r="X18" s="61"/>
      <x:c r="Y18" s="61"/>
      <x:c r="Z18" s="61"/>
      <x:c r="AA18" s="61"/>
      <x:c r="AB18" s="61"/>
      <x:c r="AC18" s="60"/>
      <x:c r="AD18" s="60"/>
      <x:c r="AE18" s="60"/>
      <x:c r="AF18" s="58"/>
      <x:c r="AG18" s="58"/>
      <x:c r="AH18" s="58"/>
      <x:c r="AI18" s="58"/>
      <x:c r="AJ18" s="58"/>
      <x:c r="AK18" s="58"/>
    </x:row>
  </x:sheetData>
  <x:mergeCells>
    <x:mergeCell ref="A1:AK1"/>
    <x:mergeCell ref="A2:AK2"/>
  </x:mergeCells>
  <x:dataValidations count="6">
    <x:dataValidation type="list" sqref="F4:M18">
      <x:formula1>"No help,Some help,Not completed"</x:formula1>
    </x:dataValidation>
    <x:dataValidation type="list" sqref="C4:C18">
      <x:formula1>"Novice or interested trader,Finance or business student,Computing student,Experienced trader,General user,Other"</x:formula1>
    </x:dataValidation>
    <x:dataValidation type="list" sqref="D4:D18">
      <x:formula1>"None,Less than 1 year,1–3 years,More than 3 years"</x:formula1>
    </x:dataValidation>
    <x:dataValidation type="whole" operator="between" sqref="E4:E18">
      <x:formula1>1</x:formula1>
      <x:formula2>120</x:formula2>
    </x:dataValidation>
    <x:dataValidation type="whole" operator="between" sqref="N4:AB18">
      <x:formula1>1</x:formula1>
      <x:formula2>5</x:formula2>
    </x:dataValidation>
    <x:dataValidation type="list" sqref="AC4:AE18">
      <x:formula1>"A,B,C,D"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c58761565740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3" max="3" width="37" hidden="0" customWidth="1"/>
    <x:col min="4" max="4" width="18" hidden="0" customWidth="1"/>
    <x:col min="6" max="6" width="9" hidden="0" customWidth="1"/>
    <x:col min="7" max="7" width="22" hidden="0" customWidth="1"/>
    <x:col min="8" max="8" width="70" hidden="0" customWidth="1"/>
    <x:col min="9" max="9" width="25" hidden="0" customWidth="1"/>
    <x:col min="10" max="10" width="20" hidden="0" customWidth="1"/>
  </x:cols>
  <x:sheetData>
    <x:row r="1" ht="34" customHeight="1">
      <x:c r="A1" s="4" t="str">
        <x:v>Codebook and Scoring Rules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8" t="str">
        <x:v>Visible mappings keep every derived result auditable and reproducible.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>
      <x:c r="A4" s="27" t="str">
        <x:v>Variable</x:v>
      </x:c>
      <x:c r="B4" s="27" t="str">
        <x:v>Allowed Values</x:v>
      </x:c>
      <x:c r="C4" s="27" t="str">
        <x:v>Score / Meaning</x:v>
      </x:c>
      <x:c r="D4" s="27" t="str">
        <x:v>Source Questionnaire Section</x:v>
      </x:c>
      <x:c r="E4" s="62"/>
      <x:c r="F4" s="27" t="str">
        <x:v>Item</x:v>
      </x:c>
      <x:c r="G4" s="27" t="str">
        <x:v>Short Label</x:v>
      </x:c>
      <x:c r="H4" s="27" t="str">
        <x:v>Full Statement</x:v>
      </x:c>
      <x:c r="I4" s="27" t="str">
        <x:v>Construct</x:v>
      </x:c>
      <x:c r="J4" s="27" t="str">
        <x:v>Positive Response</x:v>
      </x:c>
    </x:row>
    <x:row r="5">
      <x:c r="A5" s="50" t="str">
        <x:v>Participant Code</x:v>
      </x:c>
      <x:c r="B5" s="50" t="str">
        <x:v>P01–P15</x:v>
      </x:c>
      <x:c r="C5" s="50" t="str">
        <x:v>Anonymous identifier only</x:v>
      </x:c>
      <x:c r="D5" s="50" t="str">
        <x:v>Header</x:v>
      </x:c>
      <x:c r="E5" s="62"/>
      <x:c r="F5" s="50" t="n">
        <x:v>1</x:v>
      </x:c>
      <x:c r="G5" s="50" t="str">
        <x:v>Purpose clear</x:v>
      </x:c>
      <x:c r="H5" s="50" t="str">
        <x:v>The purpose of the VSA Advisor Bot was clear.</x:v>
      </x:c>
      <x:c r="I5" s="50" t="str">
        <x:v>Clarity</x:v>
      </x:c>
      <x:c r="J5" s="50" t="str">
        <x:v>Score 4 or 5</x:v>
      </x:c>
    </x:row>
    <x:row r="6">
      <x:c r="A6" s="54" t="str">
        <x:v>Task 1–8</x:v>
      </x:c>
      <x:c r="B6" s="54" t="str">
        <x:v>No help / Some help / Not completed</x:v>
      </x:c>
      <x:c r="C6" s="54" t="str">
        <x:v>Completed = No help or Some help</x:v>
      </x:c>
      <x:c r="D6" s="54" t="str">
        <x:v>B</x:v>
      </x:c>
      <x:c r="E6" s="62"/>
      <x:c r="F6" s="54" t="n">
        <x:v>2</x:v>
      </x:c>
      <x:c r="G6" s="54" t="str">
        <x:v>Navigation</x:v>
      </x:c>
      <x:c r="H6" s="54" t="str">
        <x:v>The website was easy to navigate.</x:v>
      </x:c>
      <x:c r="I6" s="54" t="str">
        <x:v>Usability</x:v>
      </x:c>
      <x:c r="J6" s="54" t="str">
        <x:v>Score 4 or 5</x:v>
      </x:c>
    </x:row>
    <x:row r="7">
      <x:c r="A7" s="54" t="str">
        <x:v>Likert 1–15</x:v>
      </x:c>
      <x:c r="B7" s="54" t="str">
        <x:v>1, 2, 3, 4, 5</x:v>
      </x:c>
      <x:c r="C7" s="54" t="str">
        <x:v>1 = strongly disagree; 5 = strongly agree</x:v>
      </x:c>
      <x:c r="D7" s="54" t="str">
        <x:v>C</x:v>
      </x:c>
      <x:c r="E7" s="62"/>
      <x:c r="F7" s="54" t="n">
        <x:v>3</x:v>
      </x:c>
      <x:c r="G7" s="54" t="str">
        <x:v>Page speed</x:v>
      </x:c>
      <x:c r="H7" s="54" t="str">
        <x:v>The ML Advisor page opened quickly enough for comfortable use.</x:v>
      </x:c>
      <x:c r="I7" s="54" t="str">
        <x:v>Performance</x:v>
      </x:c>
      <x:c r="J7" s="54" t="str">
        <x:v>Score 4 or 5</x:v>
      </x:c>
    </x:row>
    <x:row r="8">
      <x:c r="A8" s="54" t="str">
        <x:v>Understanding Q1</x:v>
      </x:c>
      <x:c r="B8" s="54" t="str">
        <x:v>A / B / C / D</x:v>
      </x:c>
      <x:c r="C8" s="54" t="str">
        <x:v>Correct = B</x:v>
      </x:c>
      <x:c r="D8" s="54" t="str">
        <x:v>D</x:v>
      </x:c>
      <x:c r="E8" s="62"/>
      <x:c r="F8" s="54" t="n">
        <x:v>4</x:v>
      </x:c>
      <x:c r="G8" s="54" t="str">
        <x:v>Decision visible</x:v>
      </x:c>
      <x:c r="H8" s="54" t="str">
        <x:v>The BUY/SELL direction and WATCH_ONLY/TRADE_CANDIDATE decision were easy to identify.</x:v>
      </x:c>
      <x:c r="I8" s="54" t="str">
        <x:v>Clarity</x:v>
      </x:c>
      <x:c r="J8" s="54" t="str">
        <x:v>Score 4 or 5</x:v>
      </x:c>
    </x:row>
    <x:row r="9">
      <x:c r="A9" s="54" t="str">
        <x:v>Understanding Q2</x:v>
      </x:c>
      <x:c r="B9" s="54" t="str">
        <x:v>A / B / C / D</x:v>
      </x:c>
      <x:c r="C9" s="54" t="str">
        <x:v>Correct = A</x:v>
      </x:c>
      <x:c r="D9" s="54" t="str">
        <x:v>D</x:v>
      </x:c>
      <x:c r="E9" s="62"/>
      <x:c r="F9" s="54" t="n">
        <x:v>5</x:v>
      </x:c>
      <x:c r="G9" s="54" t="str">
        <x:v>Scenarios clear</x:v>
      </x:c>
      <x:c r="H9" s="54" t="str">
        <x:v>The three VSA scenarios were explained clearly.</x:v>
      </x:c>
      <x:c r="I9" s="54" t="str">
        <x:v>Domain understanding</x:v>
      </x:c>
      <x:c r="J9" s="54" t="str">
        <x:v>Score 4 or 5</x:v>
      </x:c>
    </x:row>
    <x:row r="10">
      <x:c r="A10" s="54" t="str">
        <x:v>Understanding Q3</x:v>
      </x:c>
      <x:c r="B10" s="54" t="str">
        <x:v>A / B / C / D</x:v>
      </x:c>
      <x:c r="C10" s="54" t="str">
        <x:v>Correct = A</x:v>
      </x:c>
      <x:c r="D10" s="54" t="str">
        <x:v>D</x:v>
      </x:c>
      <x:c r="E10" s="62"/>
      <x:c r="F10" s="54" t="n">
        <x:v>6</x:v>
      </x:c>
      <x:c r="G10" s="54" t="str">
        <x:v>VSA then ML</x:v>
      </x:c>
      <x:c r="H10" s="54" t="str">
        <x:v>I understood that VSA generates a candidate before ML evaluates it.</x:v>
      </x:c>
      <x:c r="I10" s="54" t="str">
        <x:v>AI understanding</x:v>
      </x:c>
      <x:c r="J10" s="54" t="str">
        <x:v>Score 4 or 5</x:v>
      </x:c>
    </x:row>
    <x:row r="11">
      <x:c r="A11" s="58" t="str">
        <x:v>Open feedback</x:v>
      </x:c>
      <x:c r="B11" s="58" t="str">
        <x:v>Free text</x:v>
      </x:c>
      <x:c r="C11" s="58" t="str">
        <x:v>Report only anonymised themes/quotations</x:v>
      </x:c>
      <x:c r="D11" s="58" t="str">
        <x:v>E–F</x:v>
      </x:c>
      <x:c r="E11" s="62"/>
      <x:c r="F11" s="54" t="n">
        <x:v>7</x:v>
      </x:c>
      <x:c r="G11" s="54" t="str">
        <x:v>Probability meaning</x:v>
      </x:c>
      <x:c r="H11" s="54" t="str">
        <x:v>I understood that the LR probability estimates setup success rather than an exact future price.</x:v>
      </x:c>
      <x:c r="I11" s="54" t="str">
        <x:v>AI understanding</x:v>
      </x:c>
      <x:c r="J11" s="54" t="str">
        <x:v>Score 4 or 5</x:v>
      </x:c>
    </x:row>
    <x:row r="12">
      <x:c r="A12" s="62"/>
      <x:c r="B12" s="62"/>
      <x:c r="C12" s="62"/>
      <x:c r="D12" s="62"/>
      <x:c r="E12" s="62"/>
      <x:c r="F12" s="54" t="n">
        <x:v>8</x:v>
      </x:c>
      <x:c r="G12" s="54" t="str">
        <x:v>LR explanation</x:v>
      </x:c>
      <x:c r="H12" s="54" t="str">
        <x:v>The LR explanation helped me understand why the model supported or rejected a setup.</x:v>
      </x:c>
      <x:c r="I12" s="54" t="str">
        <x:v>Explainability</x:v>
      </x:c>
      <x:c r="J12" s="54" t="str">
        <x:v>Score 4 or 5</x:v>
      </x:c>
    </x:row>
    <x:row r="13">
      <x:c r="A13" s="62"/>
      <x:c r="B13" s="62"/>
      <x:c r="C13" s="62"/>
      <x:c r="D13" s="62"/>
      <x:c r="E13" s="62"/>
      <x:c r="F13" s="54" t="n">
        <x:v>9</x:v>
      </x:c>
      <x:c r="G13" s="54" t="str">
        <x:v>LR vs RF</x:v>
      </x:c>
      <x:c r="H13" s="54" t="str">
        <x:v>The comparison between Logistic Regression and Random Forest was understandable.</x:v>
      </x:c>
      <x:c r="I13" s="54" t="str">
        <x:v>Model comparison</x:v>
      </x:c>
      <x:c r="J13" s="54" t="str">
        <x:v>Score 4 or 5</x:v>
      </x:c>
    </x:row>
    <x:row r="14">
      <x:c r="A14" s="62"/>
      <x:c r="B14" s="62"/>
      <x:c r="C14" s="62"/>
      <x:c r="D14" s="62"/>
      <x:c r="E14" s="62"/>
      <x:c r="F14" s="54" t="n">
        <x:v>10</x:v>
      </x:c>
      <x:c r="G14" s="54" t="str">
        <x:v>News warning</x:v>
      </x:c>
      <x:c r="H14" s="54" t="str">
        <x:v>The high-impact USD news warning was clear.</x:v>
      </x:c>
      <x:c r="I14" s="54" t="str">
        <x:v>Safety</x:v>
      </x:c>
      <x:c r="J14" s="54" t="str">
        <x:v>Score 4 or 5</x:v>
      </x:c>
    </x:row>
    <x:row r="15">
      <x:c r="A15" s="62"/>
      <x:c r="B15" s="62"/>
      <x:c r="C15" s="62"/>
      <x:c r="D15" s="62"/>
      <x:c r="E15" s="62"/>
      <x:c r="F15" s="54" t="n">
        <x:v>11</x:v>
      </x:c>
      <x:c r="G15" s="54" t="str">
        <x:v>Risk rules</x:v>
      </x:c>
      <x:c r="H15" s="54" t="str">
        <x:v>The 0.5%/1% risk rules and scenario-specific stop were clear.</x:v>
      </x:c>
      <x:c r="I15" s="54" t="str">
        <x:v>Risk communication</x:v>
      </x:c>
      <x:c r="J15" s="54" t="str">
        <x:v>Score 4 or 5</x:v>
      </x:c>
    </x:row>
    <x:row r="16">
      <x:c r="A16" s="62"/>
      <x:c r="B16" s="62"/>
      <x:c r="C16" s="62"/>
      <x:c r="D16" s="62"/>
      <x:c r="E16" s="62"/>
      <x:c r="F16" s="54" t="n">
        <x:v>12</x:v>
      </x:c>
      <x:c r="G16" s="54" t="str">
        <x:v>Exit process</x:v>
      </x:c>
      <x:c r="H16" s="54" t="str">
        <x:v>The 70% at 1R, breakeven and 30% runner to 4R process was clear.</x:v>
      </x:c>
      <x:c r="I16" s="54" t="str">
        <x:v>Risk communication</x:v>
      </x:c>
      <x:c r="J16" s="54" t="str">
        <x:v>Score 4 or 5</x:v>
      </x:c>
    </x:row>
    <x:row r="17">
      <x:c r="A17" s="62"/>
      <x:c r="B17" s="62"/>
      <x:c r="C17" s="62"/>
      <x:c r="D17" s="62"/>
      <x:c r="E17" s="62"/>
      <x:c r="F17" s="54" t="n">
        <x:v>13</x:v>
      </x:c>
      <x:c r="G17" s="54" t="str">
        <x:v>No guarantee</x:v>
      </x:c>
      <x:c r="H17" s="54" t="str">
        <x:v>The warnings prevented me from assuming that profit is guaranteed.</x:v>
      </x:c>
      <x:c r="I17" s="54" t="str">
        <x:v>Responsible communication</x:v>
      </x:c>
      <x:c r="J17" s="54" t="str">
        <x:v>Score 4 or 5</x:v>
      </x:c>
    </x:row>
    <x:row r="18">
      <x:c r="A18" s="62"/>
      <x:c r="B18" s="62"/>
      <x:c r="C18" s="62"/>
      <x:c r="D18" s="62"/>
      <x:c r="E18" s="62"/>
      <x:c r="F18" s="54" t="n">
        <x:v>14</x:v>
      </x:c>
      <x:c r="G18" s="54" t="str">
        <x:v>Demo intention</x:v>
      </x:c>
      <x:c r="H18" s="54" t="str">
        <x:v>I would consider using this prototype for education or demo trading only.</x:v>
      </x:c>
      <x:c r="I18" s="54" t="str">
        <x:v>Use intention</x:v>
      </x:c>
      <x:c r="J18" s="54" t="str">
        <x:v>Score 4 or 5</x:v>
      </x:c>
    </x:row>
    <x:row r="19">
      <x:c r="A19" s="62"/>
      <x:c r="B19" s="62"/>
      <x:c r="C19" s="62"/>
      <x:c r="D19" s="62"/>
      <x:c r="E19" s="62"/>
      <x:c r="F19" s="58" t="n">
        <x:v>15</x:v>
      </x:c>
      <x:c r="G19" s="58" t="str">
        <x:v>Overall useful</x:v>
      </x:c>
      <x:c r="H19" s="58" t="str">
        <x:v>Overall, the prototype was useful for understanding VSA + ML decision support.</x:v>
      </x:c>
      <x:c r="I19" s="58" t="str">
        <x:v>Usefulness</x:v>
      </x:c>
      <x:c r="J19" s="58" t="str">
        <x:v>Score 4 or 5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3" hidden="0" customWidth="1"/>
    <x:col min="3" max="3" width="6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7" hidden="0" customWidth="1"/>
    <x:col min="9" max="9" width="17" hidden="0" customWidth="1"/>
  </x:cols>
  <x:sheetData>
    <x:row r="1" ht="34" customHeight="1">
      <x:c r="A1" s="4" t="str">
        <x:v>Task Analysis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Completion and independence are calculated from the moderated task outcomes in Raw Responses.</x:v>
      </x:c>
      <x:c r="B2" s="8"/>
      <x:c r="C2" s="8"/>
      <x:c r="D2" s="8"/>
      <x:c r="E2" s="8"/>
      <x:c r="F2" s="8"/>
      <x:c r="G2" s="8"/>
      <x:c r="H2" s="8"/>
      <x:c r="I2" s="8"/>
    </x:row>
    <x:row r="3">
      <x:c r="A3" s="27" t="str">
        <x:v>Task</x:v>
      </x:c>
      <x:c r="B3" s="27" t="str">
        <x:v>Short Label</x:v>
      </x:c>
      <x:c r="C3" s="27" t="str">
        <x:v>Task Prompt</x:v>
      </x:c>
      <x:c r="D3" s="27" t="str">
        <x:v>No Help</x:v>
      </x:c>
      <x:c r="E3" s="27" t="str">
        <x:v>Some Help</x:v>
      </x:c>
      <x:c r="F3" s="27" t="str">
        <x:v>Not Completed</x:v>
      </x:c>
      <x:c r="G3" s="27" t="str">
        <x:v>Recorded</x:v>
      </x:c>
      <x:c r="H3" s="27" t="str">
        <x:v>Completion Rate</x:v>
      </x:c>
      <x:c r="I3" s="27" t="str">
        <x:v>Independent Rate</x:v>
      </x:c>
    </x:row>
    <x:row r="4">
      <x:c r="A4" s="50" t="n">
        <x:v>1</x:v>
      </x:c>
      <x:c r="B4" s="50" t="str">
        <x:v>Find model</x:v>
      </x:c>
      <x:c r="C4" s="50" t="str">
        <x:v>Open the ML Advisor page and identify the selected model.</x:v>
      </x:c>
      <x:c r="D4" s="66" t="n">
        <x:f>COUNTIF('Raw Responses'!$F$4:$F$18,"No help")</x:f>
        <x:v>0</x:v>
      </x:c>
      <x:c r="E4" s="66" t="n">
        <x:f>COUNTIF('Raw Responses'!$F$4:$F$18,"Some help")</x:f>
        <x:v>0</x:v>
      </x:c>
      <x:c r="F4" s="66" t="n">
        <x:f>COUNTIF('Raw Responses'!$F$4:$F$18,"Not completed")</x:f>
        <x:v>0</x:v>
      </x:c>
      <x:c r="G4" s="66" t="n">
        <x:f>SUM(D4:F4)</x:f>
        <x:v>0</x:v>
      </x:c>
      <x:c r="H4" s="67" t="str">
        <x:f>IF(G4=0,"",(D4+E4)/G4)</x:f>
      </x:c>
      <x:c r="I4" s="67" t="str">
        <x:f>IF(G4=0,"",D4/G4)</x:f>
      </x:c>
    </x:row>
    <x:row r="5">
      <x:c r="A5" s="54" t="n">
        <x:v>2</x:v>
      </x:c>
      <x:c r="B5" s="54" t="str">
        <x:v>Read signal</x:v>
      </x:c>
      <x:c r="C5" s="54" t="str">
        <x:v>State direction, scenario, LR probability and final decision.</x:v>
      </x:c>
      <x:c r="D5" s="68" t="n">
        <x:f>COUNTIF('Raw Responses'!$G$4:$G$18,"No help")</x:f>
        <x:v>0</x:v>
      </x:c>
      <x:c r="E5" s="68" t="n">
        <x:f>COUNTIF('Raw Responses'!$G$4:$G$18,"Some help")</x:f>
        <x:v>0</x:v>
      </x:c>
      <x:c r="F5" s="68" t="n">
        <x:f>COUNTIF('Raw Responses'!$G$4:$G$18,"Not completed")</x:f>
        <x:v>0</x:v>
      </x:c>
      <x:c r="G5" s="68" t="n">
        <x:f>SUM(D5:F5)</x:f>
        <x:v>0</x:v>
      </x:c>
      <x:c r="H5" s="69" t="str">
        <x:f>IF(G5=0,"",(D5+E5)/G5)</x:f>
      </x:c>
      <x:c r="I5" s="69" t="str">
        <x:f>IF(G5=0,"",D5/G5)</x:f>
      </x:c>
    </x:row>
    <x:row r="6">
      <x:c r="A6" s="54" t="n">
        <x:v>3</x:v>
      </x:c>
      <x:c r="B6" s="54" t="str">
        <x:v>Explain probability</x:v>
      </x:c>
      <x:c r="C6" s="54" t="str">
        <x:v>Explain what LR probability means and what it does not guarantee.</x:v>
      </x:c>
      <x:c r="D6" s="68" t="n">
        <x:f>COUNTIF('Raw Responses'!$H$4:$H$18,"No help")</x:f>
        <x:v>0</x:v>
      </x:c>
      <x:c r="E6" s="68" t="n">
        <x:f>COUNTIF('Raw Responses'!$H$4:$H$18,"Some help")</x:f>
        <x:v>0</x:v>
      </x:c>
      <x:c r="F6" s="68" t="n">
        <x:f>COUNTIF('Raw Responses'!$H$4:$H$18,"Not completed")</x:f>
        <x:v>0</x:v>
      </x:c>
      <x:c r="G6" s="68" t="n">
        <x:f>SUM(D6:F6)</x:f>
        <x:v>0</x:v>
      </x:c>
      <x:c r="H6" s="69" t="str">
        <x:f>IF(G6=0,"",(D6+E6)/G6)</x:f>
      </x:c>
      <x:c r="I6" s="69" t="str">
        <x:f>IF(G6=0,"",D6/G6)</x:f>
      </x:c>
    </x:row>
    <x:row r="7">
      <x:c r="A7" s="54" t="n">
        <x:v>4</x:v>
      </x:c>
      <x:c r="B7" s="54" t="str">
        <x:v>Find algorithm</x:v>
      </x:c>
      <x:c r="C7" s="54" t="str">
        <x:v>Find the VSA + ML Algorithm page and identify scenario confirmation.</x:v>
      </x:c>
      <x:c r="D7" s="68" t="n">
        <x:f>COUNTIF('Raw Responses'!$I$4:$I$18,"No help")</x:f>
        <x:v>0</x:v>
      </x:c>
      <x:c r="E7" s="68" t="n">
        <x:f>COUNTIF('Raw Responses'!$I$4:$I$18,"Some help")</x:f>
        <x:v>0</x:v>
      </x:c>
      <x:c r="F7" s="68" t="n">
        <x:f>COUNTIF('Raw Responses'!$I$4:$I$18,"Not completed")</x:f>
        <x:v>0</x:v>
      </x:c>
      <x:c r="G7" s="68" t="n">
        <x:f>SUM(D7:F7)</x:f>
        <x:v>0</x:v>
      </x:c>
      <x:c r="H7" s="69" t="str">
        <x:f>IF(G7=0,"",(D7+E7)/G7)</x:f>
      </x:c>
      <x:c r="I7" s="69" t="str">
        <x:f>IF(G7=0,"",D7/G7)</x:f>
      </x:c>
    </x:row>
    <x:row r="8">
      <x:c r="A8" s="54" t="n">
        <x:v>5</x:v>
      </x:c>
      <x:c r="B8" s="54" t="str">
        <x:v>Explain news block</x:v>
      </x:c>
      <x:c r="C8" s="54" t="str">
        <x:v>Explain why a raw candidate may become WATCH_ONLY.</x:v>
      </x:c>
      <x:c r="D8" s="68" t="n">
        <x:f>COUNTIF('Raw Responses'!$J$4:$J$18,"No help")</x:f>
        <x:v>0</x:v>
      </x:c>
      <x:c r="E8" s="68" t="n">
        <x:f>COUNTIF('Raw Responses'!$J$4:$J$18,"Some help")</x:f>
        <x:v>0</x:v>
      </x:c>
      <x:c r="F8" s="68" t="n">
        <x:f>COUNTIF('Raw Responses'!$J$4:$J$18,"Not completed")</x:f>
        <x:v>0</x:v>
      </x:c>
      <x:c r="G8" s="68" t="n">
        <x:f>SUM(D8:F8)</x:f>
        <x:v>0</x:v>
      </x:c>
      <x:c r="H8" s="69" t="str">
        <x:f>IF(G8=0,"",(D8+E8)/G8)</x:f>
      </x:c>
      <x:c r="I8" s="69" t="str">
        <x:f>IF(G8=0,"",D8/G8)</x:f>
      </x:c>
    </x:row>
    <x:row r="9">
      <x:c r="A9" s="54" t="n">
        <x:v>6</x:v>
      </x:c>
      <x:c r="B9" s="54" t="str">
        <x:v>Find risk plan</x:v>
      </x:c>
      <x:c r="C9" s="54" t="str">
        <x:v>Find scenario risk and the 70%/30% managed-exit process.</x:v>
      </x:c>
      <x:c r="D9" s="68" t="n">
        <x:f>COUNTIF('Raw Responses'!$K$4:$K$18,"No help")</x:f>
        <x:v>0</x:v>
      </x:c>
      <x:c r="E9" s="68" t="n">
        <x:f>COUNTIF('Raw Responses'!$K$4:$K$18,"Some help")</x:f>
        <x:v>0</x:v>
      </x:c>
      <x:c r="F9" s="68" t="n">
        <x:f>COUNTIF('Raw Responses'!$K$4:$K$18,"Not completed")</x:f>
        <x:v>0</x:v>
      </x:c>
      <x:c r="G9" s="68" t="n">
        <x:f>SUM(D9:F9)</x:f>
        <x:v>0</x:v>
      </x:c>
      <x:c r="H9" s="69" t="str">
        <x:f>IF(G9=0,"",(D9+E9)/G9)</x:f>
      </x:c>
      <x:c r="I9" s="69" t="str">
        <x:f>IF(G9=0,"",D9/G9)</x:f>
      </x:c>
    </x:row>
    <x:row r="10">
      <x:c r="A10" s="54" t="n">
        <x:v>7</x:v>
      </x:c>
      <x:c r="B10" s="54" t="str">
        <x:v>Compare LR/RF</x:v>
      </x:c>
      <x:c r="C10" s="54" t="str">
        <x:v>Find model-comparison evidence and explain why LR is deployed.</x:v>
      </x:c>
      <x:c r="D10" s="68" t="n">
        <x:f>COUNTIF('Raw Responses'!$L$4:$L$18,"No help")</x:f>
        <x:v>0</x:v>
      </x:c>
      <x:c r="E10" s="68" t="n">
        <x:f>COUNTIF('Raw Responses'!$L$4:$L$18,"Some help")</x:f>
        <x:v>0</x:v>
      </x:c>
      <x:c r="F10" s="68" t="n">
        <x:f>COUNTIF('Raw Responses'!$L$4:$L$18,"Not completed")</x:f>
        <x:v>0</x:v>
      </x:c>
      <x:c r="G10" s="68" t="n">
        <x:f>SUM(D10:F10)</x:f>
        <x:v>0</x:v>
      </x:c>
      <x:c r="H10" s="69" t="str">
        <x:f>IF(G10=0,"",(D10+E10)/G10)</x:f>
      </x:c>
      <x:c r="I10" s="69" t="str">
        <x:f>IF(G10=0,"",D10/G10)</x:f>
      </x:c>
    </x:row>
    <x:row r="11">
      <x:c r="A11" s="58" t="n">
        <x:v>8</x:v>
      </x:c>
      <x:c r="B11" s="58" t="str">
        <x:v>Find MT5 proof</x:v>
      </x:c>
      <x:c r="C11" s="58" t="str">
        <x:v>Find MT5 integration evidence and identify whether a trade executed.</x:v>
      </x:c>
      <x:c r="D11" s="70" t="n">
        <x:f>COUNTIF('Raw Responses'!$M$4:$M$18,"No help")</x:f>
        <x:v>0</x:v>
      </x:c>
      <x:c r="E11" s="70" t="n">
        <x:f>COUNTIF('Raw Responses'!$M$4:$M$18,"Some help")</x:f>
        <x:v>0</x:v>
      </x:c>
      <x:c r="F11" s="70" t="n">
        <x:f>COUNTIF('Raw Responses'!$M$4:$M$18,"Not completed")</x:f>
        <x:v>0</x:v>
      </x:c>
      <x:c r="G11" s="70" t="n">
        <x:f>SUM(D11:F11)</x:f>
        <x:v>0</x:v>
      </x:c>
      <x:c r="H11" s="71" t="str">
        <x:f>IF(G11=0,"",(D11+E11)/G11)</x:f>
      </x:c>
      <x:c r="I11" s="71" t="str">
        <x:f>IF(G11=0,"",D11/G11)</x:f>
      </x:c>
    </x:row>
  </x:sheetData>
  <x:mergeCells>
    <x:mergeCell ref="A1:I1"/>
    <x:mergeCell ref="A2:I2"/>
  </x:mergeCells>
  <x:conditionalFormatting sqref="H4:I11">
    <x:cfRule type="colorScale" priority="1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58e71cbd2a949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7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4" customHeight="1">
      <x:c r="A1" s="4" t="str">
        <x:v>Likert Analysis</x:v>
      </x:c>
      <x:c r="B1" s="4"/>
      <x:c r="C1" s="4"/>
      <x:c r="D1" s="4"/>
      <x:c r="E1" s="4"/>
      <x:c r="F1" s="4"/>
      <x:c r="G1" s="4"/>
    </x:row>
    <x:row r="2" ht="28" customHeight="1">
      <x:c r="A2" s="8" t="str">
        <x:v>Means and positive-response rates are calculated only from recorded 1–5 answers.</x:v>
      </x:c>
      <x:c r="B2" s="8"/>
      <x:c r="C2" s="8"/>
      <x:c r="D2" s="8"/>
      <x:c r="E2" s="8"/>
      <x:c r="F2" s="8"/>
      <x:c r="G2" s="8"/>
    </x:row>
    <x:row r="3">
      <x:c r="A3" s="27" t="str">
        <x:v>Item</x:v>
      </x:c>
      <x:c r="B3" s="27" t="str">
        <x:v>Short Label</x:v>
      </x:c>
      <x:c r="C3" s="27" t="str">
        <x:v>Construct</x:v>
      </x:c>
      <x:c r="D3" s="27" t="str">
        <x:v>Responses</x:v>
      </x:c>
      <x:c r="E3" s="27" t="str">
        <x:v>Mean (1–5)</x:v>
      </x:c>
      <x:c r="F3" s="27" t="str">
        <x:v>Agree Count (4–5)</x:v>
      </x:c>
      <x:c r="G3" s="27" t="str">
        <x:v>Agree Rate</x:v>
      </x:c>
    </x:row>
    <x:row r="4">
      <x:c r="A4" s="32" t="n">
        <x:v>1</x:v>
      </x:c>
      <x:c r="B4" s="32" t="str">
        <x:v>Purpose clear</x:v>
      </x:c>
      <x:c r="C4" s="32" t="str">
        <x:v>Clarity</x:v>
      </x:c>
      <x:c r="D4" s="38" t="n">
        <x:f>COUNT('Raw Responses'!$N$4:$N$18)</x:f>
        <x:v>0</x:v>
      </x:c>
      <x:c r="E4" s="72" t="str">
        <x:f>IF(D4=0,"",AVERAGE('Raw Responses'!$N$4:$N$18))</x:f>
      </x:c>
      <x:c r="F4" s="38" t="n">
        <x:f>COUNTIF('Raw Responses'!$N$4:$N$18,"&gt;=4")</x:f>
        <x:v>0</x:v>
      </x:c>
      <x:c r="G4" s="63" t="str">
        <x:f>IF(D4=0,"",F4/D4)</x:f>
      </x:c>
    </x:row>
    <x:row r="5">
      <x:c r="A5" s="33" t="n">
        <x:v>2</x:v>
      </x:c>
      <x:c r="B5" s="33" t="str">
        <x:v>Navigation</x:v>
      </x:c>
      <x:c r="C5" s="33" t="str">
        <x:v>Usability</x:v>
      </x:c>
      <x:c r="D5" s="39" t="n">
        <x:f>COUNT('Raw Responses'!$O$4:$O$18)</x:f>
        <x:v>0</x:v>
      </x:c>
      <x:c r="E5" s="73" t="str">
        <x:f>IF(D5=0,"",AVERAGE('Raw Responses'!$O$4:$O$18))</x:f>
      </x:c>
      <x:c r="F5" s="39" t="n">
        <x:f>COUNTIF('Raw Responses'!$O$4:$O$18,"&gt;=4")</x:f>
        <x:v>0</x:v>
      </x:c>
      <x:c r="G5" s="64" t="str">
        <x:f>IF(D5=0,"",F5/D5)</x:f>
      </x:c>
    </x:row>
    <x:row r="6">
      <x:c r="A6" s="33" t="n">
        <x:v>3</x:v>
      </x:c>
      <x:c r="B6" s="33" t="str">
        <x:v>Page speed</x:v>
      </x:c>
      <x:c r="C6" s="33" t="str">
        <x:v>Performance</x:v>
      </x:c>
      <x:c r="D6" s="39" t="n">
        <x:f>COUNT('Raw Responses'!$P$4:$P$18)</x:f>
        <x:v>0</x:v>
      </x:c>
      <x:c r="E6" s="73" t="str">
        <x:f>IF(D6=0,"",AVERAGE('Raw Responses'!$P$4:$P$18))</x:f>
      </x:c>
      <x:c r="F6" s="39" t="n">
        <x:f>COUNTIF('Raw Responses'!$P$4:$P$18,"&gt;=4")</x:f>
        <x:v>0</x:v>
      </x:c>
      <x:c r="G6" s="64" t="str">
        <x:f>IF(D6=0,"",F6/D6)</x:f>
      </x:c>
    </x:row>
    <x:row r="7">
      <x:c r="A7" s="33" t="n">
        <x:v>4</x:v>
      </x:c>
      <x:c r="B7" s="33" t="str">
        <x:v>Decision visible</x:v>
      </x:c>
      <x:c r="C7" s="33" t="str">
        <x:v>Clarity</x:v>
      </x:c>
      <x:c r="D7" s="39" t="n">
        <x:f>COUNT('Raw Responses'!$Q$4:$Q$18)</x:f>
        <x:v>0</x:v>
      </x:c>
      <x:c r="E7" s="73" t="str">
        <x:f>IF(D7=0,"",AVERAGE('Raw Responses'!$Q$4:$Q$18))</x:f>
      </x:c>
      <x:c r="F7" s="39" t="n">
        <x:f>COUNTIF('Raw Responses'!$Q$4:$Q$18,"&gt;=4")</x:f>
        <x:v>0</x:v>
      </x:c>
      <x:c r="G7" s="64" t="str">
        <x:f>IF(D7=0,"",F7/D7)</x:f>
      </x:c>
    </x:row>
    <x:row r="8">
      <x:c r="A8" s="33" t="n">
        <x:v>5</x:v>
      </x:c>
      <x:c r="B8" s="33" t="str">
        <x:v>Scenarios clear</x:v>
      </x:c>
      <x:c r="C8" s="33" t="str">
        <x:v>Domain understanding</x:v>
      </x:c>
      <x:c r="D8" s="39" t="n">
        <x:f>COUNT('Raw Responses'!$R$4:$R$18)</x:f>
        <x:v>0</x:v>
      </x:c>
      <x:c r="E8" s="73" t="str">
        <x:f>IF(D8=0,"",AVERAGE('Raw Responses'!$R$4:$R$18))</x:f>
      </x:c>
      <x:c r="F8" s="39" t="n">
        <x:f>COUNTIF('Raw Responses'!$R$4:$R$18,"&gt;=4")</x:f>
        <x:v>0</x:v>
      </x:c>
      <x:c r="G8" s="64" t="str">
        <x:f>IF(D8=0,"",F8/D8)</x:f>
      </x:c>
    </x:row>
    <x:row r="9">
      <x:c r="A9" s="33" t="n">
        <x:v>6</x:v>
      </x:c>
      <x:c r="B9" s="33" t="str">
        <x:v>VSA then ML</x:v>
      </x:c>
      <x:c r="C9" s="33" t="str">
        <x:v>AI understanding</x:v>
      </x:c>
      <x:c r="D9" s="39" t="n">
        <x:f>COUNT('Raw Responses'!$S$4:$S$18)</x:f>
        <x:v>0</x:v>
      </x:c>
      <x:c r="E9" s="73" t="str">
        <x:f>IF(D9=0,"",AVERAGE('Raw Responses'!$S$4:$S$18))</x:f>
      </x:c>
      <x:c r="F9" s="39" t="n">
        <x:f>COUNTIF('Raw Responses'!$S$4:$S$18,"&gt;=4")</x:f>
        <x:v>0</x:v>
      </x:c>
      <x:c r="G9" s="64" t="str">
        <x:f>IF(D9=0,"",F9/D9)</x:f>
      </x:c>
    </x:row>
    <x:row r="10">
      <x:c r="A10" s="33" t="n">
        <x:v>7</x:v>
      </x:c>
      <x:c r="B10" s="33" t="str">
        <x:v>Probability meaning</x:v>
      </x:c>
      <x:c r="C10" s="33" t="str">
        <x:v>AI understanding</x:v>
      </x:c>
      <x:c r="D10" s="39" t="n">
        <x:f>COUNT('Raw Responses'!$T$4:$T$18)</x:f>
        <x:v>0</x:v>
      </x:c>
      <x:c r="E10" s="73" t="str">
        <x:f>IF(D10=0,"",AVERAGE('Raw Responses'!$T$4:$T$18))</x:f>
      </x:c>
      <x:c r="F10" s="39" t="n">
        <x:f>COUNTIF('Raw Responses'!$T$4:$T$18,"&gt;=4")</x:f>
        <x:v>0</x:v>
      </x:c>
      <x:c r="G10" s="64" t="str">
        <x:f>IF(D10=0,"",F10/D10)</x:f>
      </x:c>
    </x:row>
    <x:row r="11">
      <x:c r="A11" s="33" t="n">
        <x:v>8</x:v>
      </x:c>
      <x:c r="B11" s="33" t="str">
        <x:v>LR explanation</x:v>
      </x:c>
      <x:c r="C11" s="33" t="str">
        <x:v>Explainability</x:v>
      </x:c>
      <x:c r="D11" s="39" t="n">
        <x:f>COUNT('Raw Responses'!$U$4:$U$18)</x:f>
        <x:v>0</x:v>
      </x:c>
      <x:c r="E11" s="73" t="str">
        <x:f>IF(D11=0,"",AVERAGE('Raw Responses'!$U$4:$U$18))</x:f>
      </x:c>
      <x:c r="F11" s="39" t="n">
        <x:f>COUNTIF('Raw Responses'!$U$4:$U$18,"&gt;=4")</x:f>
        <x:v>0</x:v>
      </x:c>
      <x:c r="G11" s="64" t="str">
        <x:f>IF(D11=0,"",F11/D11)</x:f>
      </x:c>
    </x:row>
    <x:row r="12">
      <x:c r="A12" s="33" t="n">
        <x:v>9</x:v>
      </x:c>
      <x:c r="B12" s="33" t="str">
        <x:v>LR vs RF</x:v>
      </x:c>
      <x:c r="C12" s="33" t="str">
        <x:v>Model comparison</x:v>
      </x:c>
      <x:c r="D12" s="39" t="n">
        <x:f>COUNT('Raw Responses'!$V$4:$V$18)</x:f>
        <x:v>0</x:v>
      </x:c>
      <x:c r="E12" s="73" t="str">
        <x:f>IF(D12=0,"",AVERAGE('Raw Responses'!$V$4:$V$18))</x:f>
      </x:c>
      <x:c r="F12" s="39" t="n">
        <x:f>COUNTIF('Raw Responses'!$V$4:$V$18,"&gt;=4")</x:f>
        <x:v>0</x:v>
      </x:c>
      <x:c r="G12" s="64" t="str">
        <x:f>IF(D12=0,"",F12/D12)</x:f>
      </x:c>
    </x:row>
    <x:row r="13">
      <x:c r="A13" s="33" t="n">
        <x:v>10</x:v>
      </x:c>
      <x:c r="B13" s="33" t="str">
        <x:v>News warning</x:v>
      </x:c>
      <x:c r="C13" s="33" t="str">
        <x:v>Safety</x:v>
      </x:c>
      <x:c r="D13" s="39" t="n">
        <x:f>COUNT('Raw Responses'!$W$4:$W$18)</x:f>
        <x:v>0</x:v>
      </x:c>
      <x:c r="E13" s="73" t="str">
        <x:f>IF(D13=0,"",AVERAGE('Raw Responses'!$W$4:$W$18))</x:f>
      </x:c>
      <x:c r="F13" s="39" t="n">
        <x:f>COUNTIF('Raw Responses'!$W$4:$W$18,"&gt;=4")</x:f>
        <x:v>0</x:v>
      </x:c>
      <x:c r="G13" s="64" t="str">
        <x:f>IF(D13=0,"",F13/D13)</x:f>
      </x:c>
    </x:row>
    <x:row r="14">
      <x:c r="A14" s="33" t="n">
        <x:v>11</x:v>
      </x:c>
      <x:c r="B14" s="33" t="str">
        <x:v>Risk rules</x:v>
      </x:c>
      <x:c r="C14" s="33" t="str">
        <x:v>Risk communication</x:v>
      </x:c>
      <x:c r="D14" s="39" t="n">
        <x:f>COUNT('Raw Responses'!$X$4:$X$18)</x:f>
        <x:v>0</x:v>
      </x:c>
      <x:c r="E14" s="73" t="str">
        <x:f>IF(D14=0,"",AVERAGE('Raw Responses'!$X$4:$X$18))</x:f>
      </x:c>
      <x:c r="F14" s="39" t="n">
        <x:f>COUNTIF('Raw Responses'!$X$4:$X$18,"&gt;=4")</x:f>
        <x:v>0</x:v>
      </x:c>
      <x:c r="G14" s="64" t="str">
        <x:f>IF(D14=0,"",F14/D14)</x:f>
      </x:c>
    </x:row>
    <x:row r="15">
      <x:c r="A15" s="33" t="n">
        <x:v>12</x:v>
      </x:c>
      <x:c r="B15" s="33" t="str">
        <x:v>Exit process</x:v>
      </x:c>
      <x:c r="C15" s="33" t="str">
        <x:v>Risk communication</x:v>
      </x:c>
      <x:c r="D15" s="39" t="n">
        <x:f>COUNT('Raw Responses'!$Y$4:$Y$18)</x:f>
        <x:v>0</x:v>
      </x:c>
      <x:c r="E15" s="73" t="str">
        <x:f>IF(D15=0,"",AVERAGE('Raw Responses'!$Y$4:$Y$18))</x:f>
      </x:c>
      <x:c r="F15" s="39" t="n">
        <x:f>COUNTIF('Raw Responses'!$Y$4:$Y$18,"&gt;=4")</x:f>
        <x:v>0</x:v>
      </x:c>
      <x:c r="G15" s="64" t="str">
        <x:f>IF(D15=0,"",F15/D15)</x:f>
      </x:c>
    </x:row>
    <x:row r="16">
      <x:c r="A16" s="33" t="n">
        <x:v>13</x:v>
      </x:c>
      <x:c r="B16" s="33" t="str">
        <x:v>No guarantee</x:v>
      </x:c>
      <x:c r="C16" s="33" t="str">
        <x:v>Responsible communication</x:v>
      </x:c>
      <x:c r="D16" s="39" t="n">
        <x:f>COUNT('Raw Responses'!$Z$4:$Z$18)</x:f>
        <x:v>0</x:v>
      </x:c>
      <x:c r="E16" s="73" t="str">
        <x:f>IF(D16=0,"",AVERAGE('Raw Responses'!$Z$4:$Z$18))</x:f>
      </x:c>
      <x:c r="F16" s="39" t="n">
        <x:f>COUNTIF('Raw Responses'!$Z$4:$Z$18,"&gt;=4")</x:f>
        <x:v>0</x:v>
      </x:c>
      <x:c r="G16" s="64" t="str">
        <x:f>IF(D16=0,"",F16/D16)</x:f>
      </x:c>
    </x:row>
    <x:row r="17">
      <x:c r="A17" s="33" t="n">
        <x:v>14</x:v>
      </x:c>
      <x:c r="B17" s="33" t="str">
        <x:v>Demo intention</x:v>
      </x:c>
      <x:c r="C17" s="33" t="str">
        <x:v>Use intention</x:v>
      </x:c>
      <x:c r="D17" s="39" t="n">
        <x:f>COUNT('Raw Responses'!$AA$4:$AA$18)</x:f>
        <x:v>0</x:v>
      </x:c>
      <x:c r="E17" s="73" t="str">
        <x:f>IF(D17=0,"",AVERAGE('Raw Responses'!$AA$4:$AA$18))</x:f>
      </x:c>
      <x:c r="F17" s="39" t="n">
        <x:f>COUNTIF('Raw Responses'!$AA$4:$AA$18,"&gt;=4")</x:f>
        <x:v>0</x:v>
      </x:c>
      <x:c r="G17" s="64" t="str">
        <x:f>IF(D17=0,"",F17/D17)</x:f>
      </x:c>
    </x:row>
    <x:row r="18">
      <x:c r="A18" s="34" t="n">
        <x:v>15</x:v>
      </x:c>
      <x:c r="B18" s="34" t="str">
        <x:v>Overall useful</x:v>
      </x:c>
      <x:c r="C18" s="34" t="str">
        <x:v>Usefulness</x:v>
      </x:c>
      <x:c r="D18" s="40" t="n">
        <x:f>COUNT('Raw Responses'!$AB$4:$AB$18)</x:f>
        <x:v>0</x:v>
      </x:c>
      <x:c r="E18" s="74" t="str">
        <x:f>IF(D18=0,"",AVERAGE('Raw Responses'!$AB$4:$AB$18))</x:f>
      </x:c>
      <x:c r="F18" s="40" t="n">
        <x:f>COUNTIF('Raw Responses'!$AB$4:$AB$18,"&gt;=4")</x:f>
        <x:v>0</x:v>
      </x:c>
      <x:c r="G18" s="65" t="str">
        <x:f>IF(D18=0,"",F18/D18)</x:f>
      </x:c>
    </x:row>
  </x:sheetData>
  <x:mergeCells>
    <x:mergeCell ref="A1:G1"/>
    <x:mergeCell ref="A2:G2"/>
  </x:mergeCells>
  <x:conditionalFormatting sqref="E4:E18">
    <x:cfRule type="colorScale" priority="1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conditionalFormatting sqref="G4:G18">
    <x:cfRule type="dataBar" priority="2">
      <x:dataBar>
        <x:cfvo type="min"/>
        <x:cfvo type="max"/>
        <x:color rgb="FF2E75B6"/>
      </x:dataBar>
      <x:extLst>
        <x:ext xmlns:x14="http://schemas.microsoft.com/office/spreadsheetml/2009/9/main" uri="{B025F937-C7B1-47D3-B67F-A62EFF666E3E}">
          <x14:id>{DDEE493B-E937-5F03-DBF9-0A8918072229}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5e13e8f3959473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DDEE493B-E937-5F03-DBF9-0A8918072229}">
            <x14:dataBar gradient="1">
              <x14:cfvo type="min"/>
              <x14:cfvo type="max"/>
              <x14:fillColor rgb="FF2E75B6"/>
            </x14:dataBar>
          </x14:cfRule>
          <xm:sqref>G4:G18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7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4" t="str">
        <x:v>Understanding Checks</x:v>
      </x:c>
      <x:c r="B1" s="4"/>
      <x:c r="C1" s="4"/>
      <x:c r="D1" s="4"/>
      <x:c r="E1" s="4"/>
      <x:c r="F1" s="4"/>
    </x:row>
    <x:row r="2" ht="28" customHeight="1">
      <x:c r="A2" s="8" t="str">
        <x:v>Correct answers: Q1 = B, Q2 = A, Q3 = A. Scores are separated from raw answers.</x:v>
      </x:c>
      <x:c r="B2" s="8"/>
      <x:c r="C2" s="8"/>
      <x:c r="D2" s="8"/>
      <x:c r="E2" s="8"/>
      <x:c r="F2" s="8"/>
    </x:row>
    <x:row r="3">
      <x:c r="A3" s="27" t="str">
        <x:v>Question</x:v>
      </x:c>
      <x:c r="B3" s="27" t="str">
        <x:v>Construct</x:v>
      </x:c>
      <x:c r="C3" s="27" t="str">
        <x:v>Correct Option</x:v>
      </x:c>
      <x:c r="D3" s="27" t="str">
        <x:v>Answered</x:v>
      </x:c>
      <x:c r="E3" s="27" t="str">
        <x:v>Correct</x:v>
      </x:c>
      <x:c r="F3" s="27" t="str">
        <x:v>Correct Rate</x:v>
      </x:c>
    </x:row>
    <x:row r="4">
      <x:c r="A4" s="32" t="str">
        <x:v>Q1</x:v>
      </x:c>
      <x:c r="B4" s="32" t="str">
        <x:v>Meaning of LR probability</x:v>
      </x:c>
      <x:c r="C4" s="32" t="str">
        <x:v>B</x:v>
      </x:c>
      <x:c r="D4" s="32" t="n">
        <x:f>COUNTA('Raw Responses'!$AC$4:$AC$18)</x:f>
        <x:v>0</x:v>
      </x:c>
      <x:c r="E4" s="32" t="n">
        <x:f>COUNTIF('Raw Responses'!$AC$4:$AC$18,"B")</x:f>
        <x:v>0</x:v>
      </x:c>
      <x:c r="F4" s="63" t="str">
        <x:f>IF(D4=0,"",E4/D4)</x:f>
      </x:c>
    </x:row>
    <x:row r="5">
      <x:c r="A5" s="33" t="str">
        <x:v>Q2</x:v>
      </x:c>
      <x:c r="B5" s="33" t="str">
        <x:v>Why candidate becomes WATCH_ONLY</x:v>
      </x:c>
      <x:c r="C5" s="33" t="str">
        <x:v>A</x:v>
      </x:c>
      <x:c r="D5" s="33" t="n">
        <x:f>COUNTA('Raw Responses'!$AD$4:$AD$18)</x:f>
        <x:v>0</x:v>
      </x:c>
      <x:c r="E5" s="33" t="n">
        <x:f>COUNTIF('Raw Responses'!$AD$4:$AD$18,"A")</x:f>
        <x:v>0</x:v>
      </x:c>
      <x:c r="F5" s="64" t="str">
        <x:f>IF(D5=0,"",E5/D5)</x:f>
      </x:c>
    </x:row>
    <x:row r="6">
      <x:c r="A6" s="34" t="str">
        <x:v>Q3</x:v>
      </x:c>
      <x:c r="B6" s="34" t="str">
        <x:v>Deployed model</x:v>
      </x:c>
      <x:c r="C6" s="34" t="str">
        <x:v>A</x:v>
      </x:c>
      <x:c r="D6" s="34" t="n">
        <x:f>COUNTA('Raw Responses'!$AE$4:$AE$18)</x:f>
        <x:v>0</x:v>
      </x:c>
      <x:c r="E6" s="34" t="n">
        <x:f>COUNTIF('Raw Responses'!$AE$4:$AE$18,"A")</x:f>
        <x:v>0</x:v>
      </x:c>
      <x:c r="F6" s="65" t="str">
        <x:f>IF(D6=0,"",E6/D6)</x:f>
      </x:c>
    </x:row>
    <x:row r="9">
      <x:c r="A9" s="83" t="str">
        <x:v>Per-participant understanding score</x:v>
      </x:c>
      <x:c r="B9" s="84"/>
      <x:c r="C9" s="84"/>
      <x:c r="D9" s="84"/>
      <x:c r="E9" s="84"/>
      <x:c r="F9" s="85"/>
    </x:row>
    <x:row r="10">
      <x:c r="A10" s="27" t="str">
        <x:v>Participant</x:v>
      </x:c>
      <x:c r="B10" s="27" t="str">
        <x:v>Q1 Score</x:v>
      </x:c>
      <x:c r="C10" s="27" t="str">
        <x:v>Q2 Score</x:v>
      </x:c>
      <x:c r="D10" s="27" t="str">
        <x:v>Q3 Score</x:v>
      </x:c>
      <x:c r="E10" s="27" t="str">
        <x:v>Total / 3</x:v>
      </x:c>
      <x:c r="F10" s="27" t="str">
        <x:v>Percentage</x:v>
      </x:c>
    </x:row>
    <x:row r="11">
      <x:c r="A11" s="32" t="str">
        <x:f>'Raw Responses'!A4</x:f>
        <x:v>P01</x:v>
      </x:c>
      <x:c r="B11" s="38" t="str">
        <x:f>IF('Raw Responses'!AC4="","",--('Raw Responses'!AC4="B"))</x:f>
      </x:c>
      <x:c r="C11" s="38" t="str">
        <x:f>IF('Raw Responses'!AD4="","",--('Raw Responses'!AD4="A"))</x:f>
      </x:c>
      <x:c r="D11" s="38" t="str">
        <x:f>IF('Raw Responses'!AE4="","",--('Raw Responses'!AE4="A"))</x:f>
      </x:c>
      <x:c r="E11" s="38" t="str">
        <x:f>IF(COUNT(B11:D11)=0,"",SUM(B11:D11))</x:f>
      </x:c>
      <x:c r="F11" s="63" t="str">
        <x:f>IF(E11="","",E11/3)</x:f>
      </x:c>
    </x:row>
    <x:row r="12">
      <x:c r="A12" s="33" t="str">
        <x:f>'Raw Responses'!A5</x:f>
        <x:v>P02</x:v>
      </x:c>
      <x:c r="B12" s="39" t="str">
        <x:f>IF('Raw Responses'!AC5="","",--('Raw Responses'!AC5="B"))</x:f>
      </x:c>
      <x:c r="C12" s="39" t="str">
        <x:f>IF('Raw Responses'!AD5="","",--('Raw Responses'!AD5="A"))</x:f>
      </x:c>
      <x:c r="D12" s="39" t="str">
        <x:f>IF('Raw Responses'!AE5="","",--('Raw Responses'!AE5="A"))</x:f>
      </x:c>
      <x:c r="E12" s="39" t="str">
        <x:f>IF(COUNT(B12:D12)=0,"",SUM(B12:D12))</x:f>
      </x:c>
      <x:c r="F12" s="64" t="str">
        <x:f>IF(E12="","",E12/3)</x:f>
      </x:c>
    </x:row>
    <x:row r="13">
      <x:c r="A13" s="33" t="str">
        <x:f>'Raw Responses'!A6</x:f>
        <x:v>P03</x:v>
      </x:c>
      <x:c r="B13" s="39" t="str">
        <x:f>IF('Raw Responses'!AC6="","",--('Raw Responses'!AC6="B"))</x:f>
      </x:c>
      <x:c r="C13" s="39" t="str">
        <x:f>IF('Raw Responses'!AD6="","",--('Raw Responses'!AD6="A"))</x:f>
      </x:c>
      <x:c r="D13" s="39" t="str">
        <x:f>IF('Raw Responses'!AE6="","",--('Raw Responses'!AE6="A"))</x:f>
      </x:c>
      <x:c r="E13" s="39" t="str">
        <x:f>IF(COUNT(B13:D13)=0,"",SUM(B13:D13))</x:f>
      </x:c>
      <x:c r="F13" s="64" t="str">
        <x:f>IF(E13="","",E13/3)</x:f>
      </x:c>
    </x:row>
    <x:row r="14">
      <x:c r="A14" s="33" t="str">
        <x:f>'Raw Responses'!A7</x:f>
        <x:v>P04</x:v>
      </x:c>
      <x:c r="B14" s="39" t="str">
        <x:f>IF('Raw Responses'!AC7="","",--('Raw Responses'!AC7="B"))</x:f>
      </x:c>
      <x:c r="C14" s="39" t="str">
        <x:f>IF('Raw Responses'!AD7="","",--('Raw Responses'!AD7="A"))</x:f>
      </x:c>
      <x:c r="D14" s="39" t="str">
        <x:f>IF('Raw Responses'!AE7="","",--('Raw Responses'!AE7="A"))</x:f>
      </x:c>
      <x:c r="E14" s="39" t="str">
        <x:f>IF(COUNT(B14:D14)=0,"",SUM(B14:D14))</x:f>
      </x:c>
      <x:c r="F14" s="64" t="str">
        <x:f>IF(E14="","",E14/3)</x:f>
      </x:c>
    </x:row>
    <x:row r="15">
      <x:c r="A15" s="33" t="str">
        <x:f>'Raw Responses'!A8</x:f>
        <x:v>P05</x:v>
      </x:c>
      <x:c r="B15" s="39" t="str">
        <x:f>IF('Raw Responses'!AC8="","",--('Raw Responses'!AC8="B"))</x:f>
      </x:c>
      <x:c r="C15" s="39" t="str">
        <x:f>IF('Raw Responses'!AD8="","",--('Raw Responses'!AD8="A"))</x:f>
      </x:c>
      <x:c r="D15" s="39" t="str">
        <x:f>IF('Raw Responses'!AE8="","",--('Raw Responses'!AE8="A"))</x:f>
      </x:c>
      <x:c r="E15" s="39" t="str">
        <x:f>IF(COUNT(B15:D15)=0,"",SUM(B15:D15))</x:f>
      </x:c>
      <x:c r="F15" s="64" t="str">
        <x:f>IF(E15="","",E15/3)</x:f>
      </x:c>
    </x:row>
    <x:row r="16">
      <x:c r="A16" s="33" t="str">
        <x:f>'Raw Responses'!A9</x:f>
        <x:v>P06</x:v>
      </x:c>
      <x:c r="B16" s="39" t="str">
        <x:f>IF('Raw Responses'!AC9="","",--('Raw Responses'!AC9="B"))</x:f>
      </x:c>
      <x:c r="C16" s="39" t="str">
        <x:f>IF('Raw Responses'!AD9="","",--('Raw Responses'!AD9="A"))</x:f>
      </x:c>
      <x:c r="D16" s="39" t="str">
        <x:f>IF('Raw Responses'!AE9="","",--('Raw Responses'!AE9="A"))</x:f>
      </x:c>
      <x:c r="E16" s="39" t="str">
        <x:f>IF(COUNT(B16:D16)=0,"",SUM(B16:D16))</x:f>
      </x:c>
      <x:c r="F16" s="64" t="str">
        <x:f>IF(E16="","",E16/3)</x:f>
      </x:c>
    </x:row>
    <x:row r="17">
      <x:c r="A17" s="33" t="str">
        <x:f>'Raw Responses'!A10</x:f>
        <x:v>P07</x:v>
      </x:c>
      <x:c r="B17" s="39" t="str">
        <x:f>IF('Raw Responses'!AC10="","",--('Raw Responses'!AC10="B"))</x:f>
      </x:c>
      <x:c r="C17" s="39" t="str">
        <x:f>IF('Raw Responses'!AD10="","",--('Raw Responses'!AD10="A"))</x:f>
      </x:c>
      <x:c r="D17" s="39" t="str">
        <x:f>IF('Raw Responses'!AE10="","",--('Raw Responses'!AE10="A"))</x:f>
      </x:c>
      <x:c r="E17" s="39" t="str">
        <x:f>IF(COUNT(B17:D17)=0,"",SUM(B17:D17))</x:f>
      </x:c>
      <x:c r="F17" s="64" t="str">
        <x:f>IF(E17="","",E17/3)</x:f>
      </x:c>
    </x:row>
    <x:row r="18">
      <x:c r="A18" s="33" t="str">
        <x:f>'Raw Responses'!A11</x:f>
        <x:v>P08</x:v>
      </x:c>
      <x:c r="B18" s="39" t="str">
        <x:f>IF('Raw Responses'!AC11="","",--('Raw Responses'!AC11="B"))</x:f>
      </x:c>
      <x:c r="C18" s="39" t="str">
        <x:f>IF('Raw Responses'!AD11="","",--('Raw Responses'!AD11="A"))</x:f>
      </x:c>
      <x:c r="D18" s="39" t="str">
        <x:f>IF('Raw Responses'!AE11="","",--('Raw Responses'!AE11="A"))</x:f>
      </x:c>
      <x:c r="E18" s="39" t="str">
        <x:f>IF(COUNT(B18:D18)=0,"",SUM(B18:D18))</x:f>
      </x:c>
      <x:c r="F18" s="64" t="str">
        <x:f>IF(E18="","",E18/3)</x:f>
      </x:c>
    </x:row>
    <x:row r="19">
      <x:c r="A19" s="33" t="str">
        <x:f>'Raw Responses'!A12</x:f>
        <x:v>P09</x:v>
      </x:c>
      <x:c r="B19" s="39" t="str">
        <x:f>IF('Raw Responses'!AC12="","",--('Raw Responses'!AC12="B"))</x:f>
      </x:c>
      <x:c r="C19" s="39" t="str">
        <x:f>IF('Raw Responses'!AD12="","",--('Raw Responses'!AD12="A"))</x:f>
      </x:c>
      <x:c r="D19" s="39" t="str">
        <x:f>IF('Raw Responses'!AE12="","",--('Raw Responses'!AE12="A"))</x:f>
      </x:c>
      <x:c r="E19" s="39" t="str">
        <x:f>IF(COUNT(B19:D19)=0,"",SUM(B19:D19))</x:f>
      </x:c>
      <x:c r="F19" s="64" t="str">
        <x:f>IF(E19="","",E19/3)</x:f>
      </x:c>
    </x:row>
    <x:row r="20">
      <x:c r="A20" s="33" t="str">
        <x:f>'Raw Responses'!A13</x:f>
        <x:v>P10</x:v>
      </x:c>
      <x:c r="B20" s="39" t="str">
        <x:f>IF('Raw Responses'!AC13="","",--('Raw Responses'!AC13="B"))</x:f>
      </x:c>
      <x:c r="C20" s="39" t="str">
        <x:f>IF('Raw Responses'!AD13="","",--('Raw Responses'!AD13="A"))</x:f>
      </x:c>
      <x:c r="D20" s="39" t="str">
        <x:f>IF('Raw Responses'!AE13="","",--('Raw Responses'!AE13="A"))</x:f>
      </x:c>
      <x:c r="E20" s="39" t="str">
        <x:f>IF(COUNT(B20:D20)=0,"",SUM(B20:D20))</x:f>
      </x:c>
      <x:c r="F20" s="64" t="str">
        <x:f>IF(E20="","",E20/3)</x:f>
      </x:c>
    </x:row>
    <x:row r="21">
      <x:c r="A21" s="33" t="str">
        <x:f>'Raw Responses'!A14</x:f>
        <x:v>P11</x:v>
      </x:c>
      <x:c r="B21" s="39" t="str">
        <x:f>IF('Raw Responses'!AC14="","",--('Raw Responses'!AC14="B"))</x:f>
      </x:c>
      <x:c r="C21" s="39" t="str">
        <x:f>IF('Raw Responses'!AD14="","",--('Raw Responses'!AD14="A"))</x:f>
      </x:c>
      <x:c r="D21" s="39" t="str">
        <x:f>IF('Raw Responses'!AE14="","",--('Raw Responses'!AE14="A"))</x:f>
      </x:c>
      <x:c r="E21" s="39" t="str">
        <x:f>IF(COUNT(B21:D21)=0,"",SUM(B21:D21))</x:f>
      </x:c>
      <x:c r="F21" s="64" t="str">
        <x:f>IF(E21="","",E21/3)</x:f>
      </x:c>
    </x:row>
    <x:row r="22">
      <x:c r="A22" s="33" t="str">
        <x:f>'Raw Responses'!A15</x:f>
        <x:v>P12</x:v>
      </x:c>
      <x:c r="B22" s="39" t="str">
        <x:f>IF('Raw Responses'!AC15="","",--('Raw Responses'!AC15="B"))</x:f>
      </x:c>
      <x:c r="C22" s="39" t="str">
        <x:f>IF('Raw Responses'!AD15="","",--('Raw Responses'!AD15="A"))</x:f>
      </x:c>
      <x:c r="D22" s="39" t="str">
        <x:f>IF('Raw Responses'!AE15="","",--('Raw Responses'!AE15="A"))</x:f>
      </x:c>
      <x:c r="E22" s="39" t="str">
        <x:f>IF(COUNT(B22:D22)=0,"",SUM(B22:D22))</x:f>
      </x:c>
      <x:c r="F22" s="64" t="str">
        <x:f>IF(E22="","",E22/3)</x:f>
      </x:c>
    </x:row>
    <x:row r="23">
      <x:c r="A23" s="33" t="str">
        <x:f>'Raw Responses'!A16</x:f>
        <x:v>P13</x:v>
      </x:c>
      <x:c r="B23" s="39" t="str">
        <x:f>IF('Raw Responses'!AC16="","",--('Raw Responses'!AC16="B"))</x:f>
      </x:c>
      <x:c r="C23" s="39" t="str">
        <x:f>IF('Raw Responses'!AD16="","",--('Raw Responses'!AD16="A"))</x:f>
      </x:c>
      <x:c r="D23" s="39" t="str">
        <x:f>IF('Raw Responses'!AE16="","",--('Raw Responses'!AE16="A"))</x:f>
      </x:c>
      <x:c r="E23" s="39" t="str">
        <x:f>IF(COUNT(B23:D23)=0,"",SUM(B23:D23))</x:f>
      </x:c>
      <x:c r="F23" s="64" t="str">
        <x:f>IF(E23="","",E23/3)</x:f>
      </x:c>
    </x:row>
    <x:row r="24">
      <x:c r="A24" s="33" t="str">
        <x:f>'Raw Responses'!A17</x:f>
        <x:v>P14</x:v>
      </x:c>
      <x:c r="B24" s="39" t="str">
        <x:f>IF('Raw Responses'!AC17="","",--('Raw Responses'!AC17="B"))</x:f>
      </x:c>
      <x:c r="C24" s="39" t="str">
        <x:f>IF('Raw Responses'!AD17="","",--('Raw Responses'!AD17="A"))</x:f>
      </x:c>
      <x:c r="D24" s="39" t="str">
        <x:f>IF('Raw Responses'!AE17="","",--('Raw Responses'!AE17="A"))</x:f>
      </x:c>
      <x:c r="E24" s="39" t="str">
        <x:f>IF(COUNT(B24:D24)=0,"",SUM(B24:D24))</x:f>
      </x:c>
      <x:c r="F24" s="64" t="str">
        <x:f>IF(E24="","",E24/3)</x:f>
      </x:c>
    </x:row>
    <x:row r="25">
      <x:c r="A25" s="34" t="str">
        <x:f>'Raw Responses'!A18</x:f>
        <x:v>P15</x:v>
      </x:c>
      <x:c r="B25" s="40" t="str">
        <x:f>IF('Raw Responses'!AC18="","",--('Raw Responses'!AC18="B"))</x:f>
      </x:c>
      <x:c r="C25" s="40" t="str">
        <x:f>IF('Raw Responses'!AD18="","",--('Raw Responses'!AD18="A"))</x:f>
      </x:c>
      <x:c r="D25" s="40" t="str">
        <x:f>IF('Raw Responses'!AE18="","",--('Raw Responses'!AE18="A"))</x:f>
      </x:c>
      <x:c r="E25" s="40" t="str">
        <x:f>IF(COUNT(B25:D25)=0,"",SUM(B25:D25))</x:f>
      </x:c>
      <x:c r="F25" s="65" t="str">
        <x:f>IF(E25="","",E25/3)</x:f>
      </x:c>
    </x:row>
  </x:sheetData>
  <x:mergeCells>
    <x:mergeCell ref="A1:F1"/>
    <x:mergeCell ref="A2:F2"/>
    <x:mergeCell ref="A9:F9"/>
  </x:mergeCells>
  <x:conditionalFormatting sqref="F11:F25">
    <x:cfRule type="colorScale" priority="1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34" customHeight="1">
      <x:c r="A1" s="4" t="str">
        <x:v>User-Study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8" customHeight="1">
      <x:c r="A2" s="8" t="str">
        <x:v>This dashboard remains blank until genuine responses are entered. All KPIs and charts update automatically.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3">
      <x:c r="A3" s="248"/>
      <x:c r="B3" s="248"/>
      <x:c r="C3" s="248"/>
      <x:c r="D3" s="248"/>
      <x:c r="E3" s="248"/>
      <x:c r="F3" s="248"/>
      <x:c r="G3" s="248"/>
      <x:c r="H3" s="248"/>
      <x:c r="I3" s="248"/>
      <x:c r="J3" s="248"/>
      <x:c r="K3" s="248"/>
      <x:c r="L3" s="248"/>
      <x:c r="M3" s="248"/>
      <x:c r="N3" s="248"/>
      <x:c r="O3" s="248"/>
      <x:c r="P3" s="248"/>
    </x:row>
    <x:row r="4">
      <x:c r="A4" s="249" t="str">
        <x:v>Completed Participants</x:v>
      </x:c>
      <x:c r="B4" s="250"/>
      <x:c r="C4" s="248"/>
      <x:c r="D4" s="249" t="str">
        <x:v>Target Progress (15)</x:v>
      </x:c>
      <x:c r="E4" s="250"/>
      <x:c r="F4" s="248"/>
      <x:c r="G4" s="249" t="str">
        <x:v>Mean Session Minutes</x:v>
      </x:c>
      <x:c r="H4" s="250"/>
      <x:c r="I4" s="248"/>
      <x:c r="J4" s="249" t="str">
        <x:v>Task Completion</x:v>
      </x:c>
      <x:c r="K4" s="250"/>
      <x:c r="L4" s="248"/>
      <x:c r="M4" s="249" t="str">
        <x:v>Mean Likert</x:v>
      </x:c>
      <x:c r="N4" s="250"/>
      <x:c r="O4" s="248"/>
      <x:c r="P4" s="248"/>
    </x:row>
    <x:row r="5">
      <x:c r="A5" s="251" t="n">
        <x:f>COUNT('Raw Responses'!$B$4:$B$18)</x:f>
        <x:v>0</x:v>
      </x:c>
      <x:c r="B5" s="252"/>
      <x:c r="C5" s="248"/>
      <x:c r="D5" s="253" t="n">
        <x:f>A5/15</x:f>
        <x:v>0</x:v>
      </x:c>
      <x:c r="E5" s="254"/>
      <x:c r="F5" s="248"/>
      <x:c r="G5" s="255" t="str">
        <x:f>IFERROR(AVERAGE('Raw Responses'!$E$4:$E$18),"")</x:f>
      </x:c>
      <x:c r="H5" s="256"/>
      <x:c r="I5" s="248"/>
      <x:c r="J5" s="257" t="str">
        <x:f>IFERROR((SUM('Task Analysis'!$D$4:$D$11)+SUM('Task Analysis'!$E$4:$E$11))/SUM('Task Analysis'!$G$4:$G$11),"")</x:f>
      </x:c>
      <x:c r="K5" s="258"/>
      <x:c r="L5" s="248"/>
      <x:c r="M5" s="259" t="str">
        <x:f>IFERROR(AVERAGE('Raw Responses'!$N$4:$AB$18),"")</x:f>
      </x:c>
      <x:c r="N5" s="260"/>
      <x:c r="O5" s="248"/>
      <x:c r="P5" s="248"/>
    </x:row>
    <x:row r="6">
      <x:c r="A6" s="261"/>
      <x:c r="B6" s="262"/>
      <x:c r="C6" s="248"/>
      <x:c r="D6" s="263"/>
      <x:c r="E6" s="264"/>
      <x:c r="F6" s="248"/>
      <x:c r="G6" s="265"/>
      <x:c r="H6" s="266"/>
      <x:c r="I6" s="248"/>
      <x:c r="J6" s="267"/>
      <x:c r="K6" s="268"/>
      <x:c r="L6" s="248"/>
      <x:c r="M6" s="269"/>
      <x:c r="N6" s="270"/>
      <x:c r="O6" s="248"/>
      <x:c r="P6" s="248"/>
    </x:row>
    <x:row r="7">
      <x:c r="A7" s="271"/>
      <x:c r="B7" s="272"/>
      <x:c r="C7" s="248"/>
      <x:c r="D7" s="273"/>
      <x:c r="E7" s="274"/>
      <x:c r="F7" s="248"/>
      <x:c r="G7" s="275"/>
      <x:c r="H7" s="276"/>
      <x:c r="I7" s="248"/>
      <x:c r="J7" s="277"/>
      <x:c r="K7" s="278"/>
      <x:c r="L7" s="248"/>
      <x:c r="M7" s="279"/>
      <x:c r="N7" s="280"/>
      <x:c r="O7" s="248"/>
      <x:c r="P7" s="248"/>
    </x:row>
    <x:row r="8">
      <x:c r="A8" s="248"/>
      <x:c r="B8" s="248"/>
      <x:c r="C8" s="248"/>
      <x:c r="D8" s="248"/>
      <x:c r="E8" s="248"/>
      <x:c r="F8" s="248"/>
      <x:c r="G8" s="248"/>
      <x:c r="H8" s="248"/>
      <x:c r="I8" s="248"/>
      <x:c r="J8" s="248"/>
      <x:c r="K8" s="248"/>
      <x:c r="L8" s="248"/>
      <x:c r="M8" s="248"/>
      <x:c r="N8" s="248"/>
      <x:c r="O8" s="248"/>
      <x:c r="P8" s="248"/>
    </x:row>
    <x:row r="9">
      <x:c r="A9" s="249" t="str">
        <x:v>Understanding Accuracy</x:v>
      </x:c>
      <x:c r="B9" s="250"/>
      <x:c r="C9" s="248"/>
      <x:c r="D9" s="281" t="str">
        <x:v>Collection Status</x:v>
      </x:c>
      <x:c r="E9" s="282"/>
      <x:c r="F9" s="282"/>
      <x:c r="G9" s="282"/>
      <x:c r="H9" s="282"/>
      <x:c r="I9" s="282"/>
      <x:c r="J9" s="282"/>
      <x:c r="K9" s="282"/>
      <x:c r="L9" s="282"/>
      <x:c r="M9" s="282"/>
      <x:c r="N9" s="283"/>
      <x:c r="O9" s="248"/>
      <x:c r="P9" s="248"/>
    </x:row>
    <x:row r="10">
      <x:c r="A10" s="257" t="str">
        <x:f>IFERROR(SUM('Understanding'!$E$4:$E$6)/SUM('Understanding'!$D$4:$D$6),"")</x:f>
      </x:c>
      <x:c r="B10" s="258"/>
      <x:c r="C10" s="248"/>
      <x:c r="D10" s="284" t="str">
        <x:f>IF(A5=0,"Awaiting genuine responses",IF(A5&lt;10,"Collection in progress — minimum sample not reached",IF(A5&lt;=15,"Target sample reached","Additional responses recorded")))</x:f>
        <x:v>Awaiting genuine responses</x:v>
      </x:c>
      <x:c r="E10" s="285"/>
      <x:c r="F10" s="285"/>
      <x:c r="G10" s="285"/>
      <x:c r="H10" s="285"/>
      <x:c r="I10" s="285"/>
      <x:c r="J10" s="285"/>
      <x:c r="K10" s="285"/>
      <x:c r="L10" s="285"/>
      <x:c r="M10" s="285"/>
      <x:c r="N10" s="286"/>
      <x:c r="O10" s="248"/>
      <x:c r="P10" s="248"/>
    </x:row>
    <x:row r="11">
      <x:c r="A11" s="267"/>
      <x:c r="B11" s="268"/>
      <x:c r="C11" s="248"/>
      <x:c r="D11" s="287"/>
      <x:c r="E11" s="288"/>
      <x:c r="F11" s="288"/>
      <x:c r="G11" s="288"/>
      <x:c r="H11" s="288"/>
      <x:c r="I11" s="288"/>
      <x:c r="J11" s="288"/>
      <x:c r="K11" s="288"/>
      <x:c r="L11" s="288"/>
      <x:c r="M11" s="288"/>
      <x:c r="N11" s="289"/>
      <x:c r="O11" s="248"/>
      <x:c r="P11" s="248"/>
    </x:row>
    <x:row r="12">
      <x:c r="A12" s="277"/>
      <x:c r="B12" s="278"/>
      <x:c r="C12" s="248"/>
      <x:c r="D12" s="290"/>
      <x:c r="E12" s="291"/>
      <x:c r="F12" s="291"/>
      <x:c r="G12" s="291"/>
      <x:c r="H12" s="291"/>
      <x:c r="I12" s="291"/>
      <x:c r="J12" s="291"/>
      <x:c r="K12" s="291"/>
      <x:c r="L12" s="291"/>
      <x:c r="M12" s="291"/>
      <x:c r="N12" s="292"/>
      <x:c r="O12" s="248"/>
      <x:c r="P12" s="248"/>
    </x:row>
    <x:row r="13">
      <x:c r="A13" s="248"/>
      <x:c r="B13" s="248"/>
      <x:c r="C13" s="248"/>
      <x:c r="D13" s="248"/>
      <x:c r="E13" s="248"/>
      <x:c r="F13" s="248"/>
      <x:c r="G13" s="248"/>
      <x:c r="H13" s="248"/>
      <x:c r="I13" s="248"/>
      <x:c r="J13" s="248"/>
      <x:c r="K13" s="248"/>
      <x:c r="L13" s="248"/>
      <x:c r="M13" s="248"/>
      <x:c r="N13" s="248"/>
      <x:c r="O13" s="248"/>
      <x:c r="P13" s="248"/>
    </x:row>
    <x:row r="14">
      <x:c r="A14" s="248"/>
      <x:c r="B14" s="248"/>
      <x:c r="C14" s="248"/>
      <x:c r="D14" s="248"/>
      <x:c r="E14" s="248"/>
      <x:c r="F14" s="248"/>
      <x:c r="G14" s="248"/>
      <x:c r="H14" s="248"/>
      <x:c r="I14" s="248"/>
      <x:c r="J14" s="248"/>
      <x:c r="K14" s="248"/>
      <x:c r="L14" s="248"/>
      <x:c r="M14" s="248"/>
      <x:c r="N14" s="248"/>
      <x:c r="O14" s="248"/>
      <x:c r="P14" s="248"/>
    </x:row>
    <x:row r="15">
      <x:c r="A15" s="248"/>
      <x:c r="B15" s="248"/>
      <x:c r="C15" s="248"/>
      <x:c r="D15" s="248"/>
      <x:c r="E15" s="248"/>
      <x:c r="F15" s="248"/>
      <x:c r="G15" s="248"/>
      <x:c r="H15" s="248"/>
      <x:c r="I15" s="248"/>
      <x:c r="J15" s="248"/>
      <x:c r="K15" s="248"/>
      <x:c r="L15" s="248"/>
      <x:c r="M15" s="248"/>
      <x:c r="N15" s="248"/>
      <x:c r="O15" s="248"/>
      <x:c r="P15" s="248"/>
    </x:row>
    <x:row r="16">
      <x:c r="A16" s="248"/>
      <x:c r="B16" s="248"/>
      <x:c r="C16" s="248"/>
      <x:c r="D16" s="248"/>
      <x:c r="E16" s="248"/>
      <x:c r="F16" s="248"/>
      <x:c r="G16" s="248"/>
      <x:c r="H16" s="248"/>
      <x:c r="I16" s="248"/>
      <x:c r="J16" s="248"/>
      <x:c r="K16" s="248"/>
      <x:c r="L16" s="248"/>
      <x:c r="M16" s="248"/>
      <x:c r="N16" s="248"/>
      <x:c r="O16" s="248"/>
      <x:c r="P16" s="248"/>
    </x:row>
    <x:row r="17">
      <x:c r="A17" s="248"/>
      <x:c r="B17" s="248"/>
      <x:c r="C17" s="248"/>
      <x:c r="D17" s="248"/>
      <x:c r="E17" s="248"/>
      <x:c r="F17" s="248"/>
      <x:c r="G17" s="248"/>
      <x:c r="H17" s="248"/>
      <x:c r="I17" s="248"/>
      <x:c r="J17" s="248"/>
      <x:c r="K17" s="248"/>
      <x:c r="L17" s="248"/>
      <x:c r="M17" s="248"/>
      <x:c r="N17" s="248"/>
      <x:c r="O17" s="248"/>
      <x:c r="P17" s="248"/>
    </x:row>
    <x:row r="18">
      <x:c r="A18" s="248"/>
      <x:c r="B18" s="248"/>
      <x:c r="C18" s="248"/>
      <x:c r="D18" s="248"/>
      <x:c r="E18" s="248"/>
      <x:c r="F18" s="248"/>
      <x:c r="G18" s="248"/>
      <x:c r="H18" s="248"/>
      <x:c r="I18" s="248"/>
      <x:c r="J18" s="248"/>
      <x:c r="K18" s="248"/>
      <x:c r="L18" s="248"/>
      <x:c r="M18" s="248"/>
      <x:c r="N18" s="248"/>
      <x:c r="O18" s="248"/>
      <x:c r="P18" s="248"/>
    </x:row>
    <x:row r="19">
      <x:c r="A19" s="248"/>
      <x:c r="B19" s="248"/>
      <x:c r="C19" s="248"/>
      <x:c r="D19" s="248"/>
      <x:c r="E19" s="248"/>
      <x:c r="F19" s="248"/>
      <x:c r="G19" s="248"/>
      <x:c r="H19" s="248"/>
      <x:c r="I19" s="248"/>
      <x:c r="J19" s="248"/>
      <x:c r="K19" s="248"/>
      <x:c r="L19" s="248"/>
      <x:c r="M19" s="248"/>
      <x:c r="N19" s="248"/>
      <x:c r="O19" s="248"/>
      <x:c r="P19" s="248"/>
    </x:row>
    <x:row r="20">
      <x:c r="A20" s="248"/>
      <x:c r="B20" s="248"/>
      <x:c r="C20" s="248"/>
      <x:c r="D20" s="248"/>
      <x:c r="E20" s="248"/>
      <x:c r="F20" s="248"/>
      <x:c r="G20" s="248"/>
      <x:c r="H20" s="248"/>
      <x:c r="I20" s="248"/>
      <x:c r="J20" s="248"/>
      <x:c r="K20" s="248"/>
      <x:c r="L20" s="248"/>
      <x:c r="M20" s="248"/>
      <x:c r="N20" s="248"/>
      <x:c r="O20" s="248"/>
      <x:c r="P20" s="248"/>
    </x:row>
    <x:row r="21">
      <x:c r="A21" s="248"/>
      <x:c r="B21" s="248"/>
      <x:c r="C21" s="248"/>
      <x:c r="D21" s="248"/>
      <x:c r="E21" s="248"/>
      <x:c r="F21" s="248"/>
      <x:c r="G21" s="248"/>
      <x:c r="H21" s="248"/>
      <x:c r="I21" s="248"/>
      <x:c r="J21" s="248"/>
      <x:c r="K21" s="248"/>
      <x:c r="L21" s="248"/>
      <x:c r="M21" s="248"/>
      <x:c r="N21" s="248"/>
      <x:c r="O21" s="248"/>
      <x:c r="P21" s="248"/>
    </x:row>
    <x:row r="22">
      <x:c r="A22" s="248"/>
      <x:c r="B22" s="248"/>
      <x:c r="C22" s="248"/>
      <x:c r="D22" s="248"/>
      <x:c r="E22" s="248"/>
      <x:c r="F22" s="248"/>
      <x:c r="G22" s="248"/>
      <x:c r="H22" s="248"/>
      <x:c r="I22" s="248"/>
      <x:c r="J22" s="248"/>
      <x:c r="K22" s="248"/>
      <x:c r="L22" s="248"/>
      <x:c r="M22" s="248"/>
      <x:c r="N22" s="248"/>
      <x:c r="O22" s="248"/>
      <x:c r="P22" s="248"/>
    </x:row>
    <x:row r="23">
      <x:c r="A23" s="248"/>
      <x:c r="B23" s="248"/>
      <x:c r="C23" s="248"/>
      <x:c r="D23" s="248"/>
      <x:c r="E23" s="248"/>
      <x:c r="F23" s="248"/>
      <x:c r="G23" s="248"/>
      <x:c r="H23" s="248"/>
      <x:c r="I23" s="248"/>
      <x:c r="J23" s="248"/>
      <x:c r="K23" s="248"/>
      <x:c r="L23" s="248"/>
      <x:c r="M23" s="248"/>
      <x:c r="N23" s="248"/>
      <x:c r="O23" s="248"/>
      <x:c r="P23" s="248"/>
    </x:row>
    <x:row r="24">
      <x:c r="A24" s="248"/>
      <x:c r="B24" s="248"/>
      <x:c r="C24" s="248"/>
      <x:c r="D24" s="248"/>
      <x:c r="E24" s="248"/>
      <x:c r="F24" s="248"/>
      <x:c r="G24" s="248"/>
      <x:c r="H24" s="248"/>
      <x:c r="I24" s="248"/>
      <x:c r="J24" s="248"/>
      <x:c r="K24" s="248"/>
      <x:c r="L24" s="248"/>
      <x:c r="M24" s="248"/>
      <x:c r="N24" s="248"/>
      <x:c r="O24" s="248"/>
      <x:c r="P24" s="248"/>
    </x:row>
    <x:row r="25">
      <x:c r="A25" s="248"/>
      <x:c r="B25" s="248"/>
      <x:c r="C25" s="248"/>
      <x:c r="D25" s="248"/>
      <x:c r="E25" s="248"/>
      <x:c r="F25" s="248"/>
      <x:c r="G25" s="248"/>
      <x:c r="H25" s="248"/>
      <x:c r="I25" s="248"/>
      <x:c r="J25" s="248"/>
      <x:c r="K25" s="248"/>
      <x:c r="L25" s="248"/>
      <x:c r="M25" s="248"/>
      <x:c r="N25" s="248"/>
      <x:c r="O25" s="248"/>
      <x:c r="P25" s="248"/>
    </x:row>
    <x:row r="26">
      <x:c r="A26" s="248"/>
      <x:c r="B26" s="248"/>
      <x:c r="C26" s="248"/>
      <x:c r="D26" s="248"/>
      <x:c r="E26" s="248"/>
      <x:c r="F26" s="248"/>
      <x:c r="G26" s="248"/>
      <x:c r="H26" s="248"/>
      <x:c r="I26" s="248"/>
      <x:c r="J26" s="248"/>
      <x:c r="K26" s="248"/>
      <x:c r="L26" s="248"/>
      <x:c r="M26" s="248"/>
      <x:c r="N26" s="248"/>
      <x:c r="O26" s="248"/>
      <x:c r="P26" s="248"/>
    </x:row>
    <x:row r="27">
      <x:c r="A27" s="248"/>
      <x:c r="B27" s="248"/>
      <x:c r="C27" s="248"/>
      <x:c r="D27" s="248"/>
      <x:c r="E27" s="248"/>
      <x:c r="F27" s="248"/>
      <x:c r="G27" s="248"/>
      <x:c r="H27" s="248"/>
      <x:c r="I27" s="248"/>
      <x:c r="J27" s="248"/>
      <x:c r="K27" s="248"/>
      <x:c r="L27" s="248"/>
      <x:c r="M27" s="248"/>
      <x:c r="N27" s="248"/>
      <x:c r="O27" s="248"/>
      <x:c r="P27" s="248"/>
    </x:row>
    <x:row r="28">
      <x:c r="A28" s="248"/>
      <x:c r="B28" s="248"/>
      <x:c r="C28" s="248"/>
      <x:c r="D28" s="248"/>
      <x:c r="E28" s="248"/>
      <x:c r="F28" s="248"/>
      <x:c r="G28" s="248"/>
      <x:c r="H28" s="248"/>
      <x:c r="I28" s="248"/>
      <x:c r="J28" s="248"/>
      <x:c r="K28" s="248"/>
      <x:c r="L28" s="248"/>
      <x:c r="M28" s="248"/>
      <x:c r="N28" s="248"/>
      <x:c r="O28" s="248"/>
      <x:c r="P28" s="248"/>
    </x:row>
    <x:row r="29">
      <x:c r="A29" s="248"/>
      <x:c r="B29" s="248"/>
      <x:c r="C29" s="248"/>
      <x:c r="D29" s="248"/>
      <x:c r="E29" s="248"/>
      <x:c r="F29" s="248"/>
      <x:c r="G29" s="248"/>
      <x:c r="H29" s="248"/>
      <x:c r="I29" s="248"/>
      <x:c r="J29" s="248"/>
      <x:c r="K29" s="248"/>
      <x:c r="L29" s="248"/>
      <x:c r="M29" s="248"/>
      <x:c r="N29" s="248"/>
      <x:c r="O29" s="248"/>
      <x:c r="P29" s="248"/>
    </x:row>
    <x:row r="30">
      <x:c r="A30" s="248"/>
      <x:c r="B30" s="248"/>
      <x:c r="C30" s="248"/>
      <x:c r="D30" s="248"/>
      <x:c r="E30" s="248"/>
      <x:c r="F30" s="248"/>
      <x:c r="G30" s="248"/>
      <x:c r="H30" s="248"/>
      <x:c r="I30" s="248"/>
      <x:c r="J30" s="248"/>
      <x:c r="K30" s="248"/>
      <x:c r="L30" s="248"/>
      <x:c r="M30" s="248"/>
      <x:c r="N30" s="248"/>
      <x:c r="O30" s="248"/>
      <x:c r="P30" s="248"/>
    </x:row>
    <x:row r="31">
      <x:c r="A31" s="248"/>
      <x:c r="B31" s="248"/>
      <x:c r="C31" s="248"/>
      <x:c r="D31" s="248"/>
      <x:c r="E31" s="248"/>
      <x:c r="F31" s="248"/>
      <x:c r="G31" s="248"/>
      <x:c r="H31" s="248"/>
      <x:c r="I31" s="248"/>
      <x:c r="J31" s="248"/>
      <x:c r="K31" s="248"/>
      <x:c r="L31" s="248"/>
      <x:c r="M31" s="248"/>
      <x:c r="N31" s="248"/>
      <x:c r="O31" s="248"/>
      <x:c r="P31" s="248"/>
    </x:row>
    <x:row r="32">
      <x:c r="A32" s="248"/>
      <x:c r="B32" s="248"/>
      <x:c r="C32" s="248"/>
      <x:c r="D32" s="248"/>
      <x:c r="E32" s="248"/>
      <x:c r="F32" s="248"/>
      <x:c r="G32" s="248"/>
      <x:c r="H32" s="248"/>
      <x:c r="I32" s="248"/>
      <x:c r="J32" s="248"/>
      <x:c r="K32" s="248"/>
      <x:c r="L32" s="248"/>
      <x:c r="M32" s="248"/>
      <x:c r="N32" s="248"/>
      <x:c r="O32" s="248"/>
      <x:c r="P32" s="248"/>
    </x:row>
    <x:row r="33">
      <x:c r="A33" s="248"/>
      <x:c r="B33" s="248"/>
      <x:c r="C33" s="248"/>
      <x:c r="D33" s="248"/>
      <x:c r="E33" s="248"/>
      <x:c r="F33" s="248"/>
      <x:c r="G33" s="248"/>
      <x:c r="H33" s="248"/>
      <x:c r="I33" s="248"/>
      <x:c r="J33" s="248"/>
      <x:c r="K33" s="248"/>
      <x:c r="L33" s="248"/>
      <x:c r="M33" s="248"/>
      <x:c r="N33" s="248"/>
      <x:c r="O33" s="248"/>
      <x:c r="P33" s="248"/>
    </x:row>
    <x:row r="34">
      <x:c r="A34" s="248"/>
      <x:c r="B34" s="248"/>
      <x:c r="C34" s="248"/>
      <x:c r="D34" s="248"/>
      <x:c r="E34" s="248"/>
      <x:c r="F34" s="248"/>
      <x:c r="G34" s="248"/>
      <x:c r="H34" s="248"/>
      <x:c r="I34" s="248"/>
      <x:c r="J34" s="248"/>
      <x:c r="K34" s="248"/>
      <x:c r="L34" s="248"/>
      <x:c r="M34" s="248"/>
      <x:c r="N34" s="248"/>
      <x:c r="O34" s="248"/>
      <x:c r="P34" s="248"/>
    </x:row>
    <x:row r="35">
      <x:c r="A35" s="248"/>
      <x:c r="B35" s="248"/>
      <x:c r="C35" s="248"/>
      <x:c r="D35" s="248"/>
      <x:c r="E35" s="248"/>
      <x:c r="F35" s="248"/>
      <x:c r="G35" s="248"/>
      <x:c r="H35" s="248"/>
      <x:c r="I35" s="248"/>
      <x:c r="J35" s="248"/>
      <x:c r="K35" s="248"/>
      <x:c r="L35" s="248"/>
      <x:c r="M35" s="248"/>
      <x:c r="N35" s="248"/>
      <x:c r="O35" s="248"/>
      <x:c r="P35" s="248"/>
    </x:row>
    <x:row r="36">
      <x:c r="A36" s="248"/>
      <x:c r="B36" s="248"/>
      <x:c r="C36" s="248"/>
      <x:c r="D36" s="248"/>
      <x:c r="E36" s="248"/>
      <x:c r="F36" s="248"/>
      <x:c r="G36" s="248"/>
      <x:c r="H36" s="248"/>
      <x:c r="I36" s="248"/>
      <x:c r="J36" s="248"/>
      <x:c r="K36" s="248"/>
      <x:c r="L36" s="248"/>
      <x:c r="M36" s="248"/>
      <x:c r="N36" s="248"/>
      <x:c r="O36" s="248"/>
      <x:c r="P36" s="248"/>
    </x:row>
    <x:row r="37">
      <x:c r="A37" s="248"/>
      <x:c r="B37" s="248"/>
      <x:c r="C37" s="248"/>
      <x:c r="D37" s="248"/>
      <x:c r="E37" s="248"/>
      <x:c r="F37" s="248"/>
      <x:c r="G37" s="248"/>
      <x:c r="H37" s="248"/>
      <x:c r="I37" s="248"/>
      <x:c r="J37" s="248"/>
      <x:c r="K37" s="248"/>
      <x:c r="L37" s="248"/>
      <x:c r="M37" s="248"/>
      <x:c r="N37" s="248"/>
      <x:c r="O37" s="248"/>
      <x:c r="P37" s="248"/>
    </x:row>
    <x:row r="38">
      <x:c r="A38" s="248"/>
      <x:c r="B38" s="248"/>
      <x:c r="C38" s="248"/>
      <x:c r="D38" s="248"/>
      <x:c r="E38" s="248"/>
      <x:c r="F38" s="248"/>
      <x:c r="G38" s="248"/>
      <x:c r="H38" s="248"/>
      <x:c r="I38" s="248"/>
      <x:c r="J38" s="248"/>
      <x:c r="K38" s="248"/>
      <x:c r="L38" s="248"/>
      <x:c r="M38" s="248"/>
      <x:c r="N38" s="248"/>
      <x:c r="O38" s="248"/>
      <x:c r="P38" s="248"/>
    </x:row>
    <x:row r="39">
      <x:c r="A39" s="248"/>
      <x:c r="B39" s="248"/>
      <x:c r="C39" s="248"/>
      <x:c r="D39" s="248"/>
      <x:c r="E39" s="248"/>
      <x:c r="F39" s="248"/>
      <x:c r="G39" s="248"/>
      <x:c r="H39" s="248"/>
      <x:c r="I39" s="248"/>
      <x:c r="J39" s="248"/>
      <x:c r="K39" s="248"/>
      <x:c r="L39" s="248"/>
      <x:c r="M39" s="248"/>
      <x:c r="N39" s="248"/>
      <x:c r="O39" s="248"/>
      <x:c r="P39" s="248"/>
    </x:row>
    <x:row r="40">
      <x:c r="A40" s="248"/>
      <x:c r="B40" s="248"/>
      <x:c r="C40" s="248"/>
      <x:c r="D40" s="248"/>
      <x:c r="E40" s="248"/>
      <x:c r="F40" s="248"/>
      <x:c r="G40" s="248"/>
      <x:c r="H40" s="248"/>
      <x:c r="I40" s="248"/>
      <x:c r="J40" s="248"/>
      <x:c r="K40" s="248"/>
      <x:c r="L40" s="248"/>
      <x:c r="M40" s="248"/>
      <x:c r="N40" s="248"/>
      <x:c r="O40" s="248"/>
      <x:c r="P40" s="248"/>
    </x:row>
    <x:row r="41">
      <x:c r="A41" s="248"/>
      <x:c r="B41" s="248"/>
      <x:c r="C41" s="248"/>
      <x:c r="D41" s="248"/>
      <x:c r="E41" s="248"/>
      <x:c r="F41" s="248"/>
      <x:c r="G41" s="248"/>
      <x:c r="H41" s="248"/>
      <x:c r="I41" s="248"/>
      <x:c r="J41" s="248"/>
      <x:c r="K41" s="248"/>
      <x:c r="L41" s="248"/>
      <x:c r="M41" s="248"/>
      <x:c r="N41" s="248"/>
      <x:c r="O41" s="248"/>
      <x:c r="P41" s="248"/>
    </x:row>
    <x:row r="42">
      <x:c r="A42" s="248"/>
      <x:c r="B42" s="248"/>
      <x:c r="C42" s="248"/>
      <x:c r="D42" s="248"/>
      <x:c r="E42" s="248"/>
      <x:c r="F42" s="248"/>
      <x:c r="G42" s="248"/>
      <x:c r="H42" s="248"/>
      <x:c r="I42" s="248"/>
      <x:c r="J42" s="248"/>
      <x:c r="K42" s="248"/>
      <x:c r="L42" s="248"/>
      <x:c r="M42" s="248"/>
      <x:c r="N42" s="248"/>
      <x:c r="O42" s="248"/>
      <x:c r="P42" s="248"/>
    </x:row>
    <x:row r="43">
      <x:c r="A43" s="248"/>
      <x:c r="B43" s="248"/>
      <x:c r="C43" s="248"/>
      <x:c r="D43" s="248"/>
      <x:c r="E43" s="248"/>
      <x:c r="F43" s="248"/>
      <x:c r="G43" s="248"/>
      <x:c r="H43" s="248"/>
      <x:c r="I43" s="248"/>
      <x:c r="J43" s="248"/>
      <x:c r="K43" s="248"/>
      <x:c r="L43" s="248"/>
      <x:c r="M43" s="248"/>
      <x:c r="N43" s="248"/>
      <x:c r="O43" s="248"/>
      <x:c r="P43" s="248"/>
    </x:row>
    <x:row r="44">
      <x:c r="A44" s="248"/>
      <x:c r="B44" s="248"/>
      <x:c r="C44" s="248"/>
      <x:c r="D44" s="248"/>
      <x:c r="E44" s="248"/>
      <x:c r="F44" s="248"/>
      <x:c r="G44" s="248"/>
      <x:c r="H44" s="248"/>
      <x:c r="I44" s="248"/>
      <x:c r="J44" s="248"/>
      <x:c r="K44" s="248"/>
      <x:c r="L44" s="248"/>
      <x:c r="M44" s="248"/>
      <x:c r="N44" s="248"/>
      <x:c r="O44" s="248"/>
      <x:c r="P44" s="248"/>
    </x:row>
    <x:row r="45">
      <x:c r="A45" s="248"/>
      <x:c r="B45" s="248"/>
      <x:c r="C45" s="248"/>
      <x:c r="D45" s="248"/>
      <x:c r="E45" s="248"/>
      <x:c r="F45" s="248"/>
      <x:c r="G45" s="248"/>
      <x:c r="H45" s="248"/>
      <x:c r="I45" s="248"/>
      <x:c r="J45" s="248"/>
      <x:c r="K45" s="248"/>
      <x:c r="L45" s="248"/>
      <x:c r="M45" s="248"/>
      <x:c r="N45" s="248"/>
      <x:c r="O45" s="248"/>
      <x:c r="P45" s="248"/>
    </x:row>
    <x:row r="46">
      <x:c r="A46" s="248"/>
      <x:c r="B46" s="248"/>
      <x:c r="C46" s="248"/>
      <x:c r="D46" s="248"/>
      <x:c r="E46" s="248"/>
      <x:c r="F46" s="248"/>
      <x:c r="G46" s="248"/>
      <x:c r="H46" s="248"/>
      <x:c r="I46" s="248"/>
      <x:c r="J46" s="248"/>
      <x:c r="K46" s="248"/>
      <x:c r="L46" s="248"/>
      <x:c r="M46" s="248"/>
      <x:c r="N46" s="248"/>
      <x:c r="O46" s="248"/>
      <x:c r="P46" s="248"/>
    </x:row>
    <x:row r="47">
      <x:c r="A47" s="248"/>
      <x:c r="B47" s="248"/>
      <x:c r="C47" s="248"/>
      <x:c r="D47" s="248"/>
      <x:c r="E47" s="248"/>
      <x:c r="F47" s="248"/>
      <x:c r="G47" s="248"/>
      <x:c r="H47" s="248"/>
      <x:c r="I47" s="248"/>
      <x:c r="J47" s="248"/>
      <x:c r="K47" s="248"/>
      <x:c r="L47" s="248"/>
      <x:c r="M47" s="248"/>
      <x:c r="N47" s="248"/>
      <x:c r="O47" s="248"/>
      <x:c r="P47" s="248"/>
    </x:row>
    <x:row r="48">
      <x:c r="A48" s="248"/>
      <x:c r="B48" s="248"/>
      <x:c r="C48" s="248"/>
      <x:c r="D48" s="248"/>
      <x:c r="E48" s="248"/>
      <x:c r="F48" s="248"/>
      <x:c r="G48" s="248"/>
      <x:c r="H48" s="248"/>
      <x:c r="I48" s="248"/>
      <x:c r="J48" s="248"/>
      <x:c r="K48" s="248"/>
      <x:c r="L48" s="248"/>
      <x:c r="M48" s="248"/>
      <x:c r="N48" s="248"/>
      <x:c r="O48" s="248"/>
      <x:c r="P48" s="248"/>
    </x:row>
    <x:row r="49">
      <x:c r="A49" s="293" t="str">
        <x:v>Interpretation rule: report descriptive results for this sample, triangulate ratings with task outcomes and comments, and retain limitations. Do not claim general population validity.</x:v>
      </x:c>
      <x:c r="B49" s="294"/>
      <x:c r="C49" s="294"/>
      <x:c r="D49" s="294"/>
      <x:c r="E49" s="294"/>
      <x:c r="F49" s="294"/>
      <x:c r="G49" s="294"/>
      <x:c r="H49" s="294"/>
      <x:c r="I49" s="294"/>
      <x:c r="J49" s="294"/>
      <x:c r="K49" s="294"/>
      <x:c r="L49" s="294"/>
      <x:c r="M49" s="294"/>
      <x:c r="N49" s="294"/>
      <x:c r="O49" s="294"/>
      <x:c r="P49" s="295"/>
    </x:row>
    <x:row r="50">
      <x:c r="A50" s="296"/>
      <x:c r="B50" s="297"/>
      <x:c r="C50" s="297"/>
      <x:c r="D50" s="297"/>
      <x:c r="E50" s="297"/>
      <x:c r="F50" s="297"/>
      <x:c r="G50" s="297"/>
      <x:c r="H50" s="297"/>
      <x:c r="I50" s="297"/>
      <x:c r="J50" s="297"/>
      <x:c r="K50" s="297"/>
      <x:c r="L50" s="297"/>
      <x:c r="M50" s="297"/>
      <x:c r="N50" s="297"/>
      <x:c r="O50" s="297"/>
      <x:c r="P50" s="298"/>
    </x:row>
  </x:sheetData>
  <x:mergeCells>
    <x:mergeCell ref="A1:P1"/>
    <x:mergeCell ref="A2:P2"/>
    <x:mergeCell ref="A4:B4"/>
    <x:mergeCell ref="A5:B7"/>
    <x:mergeCell ref="D4:E4"/>
    <x:mergeCell ref="D5:E7"/>
    <x:mergeCell ref="G4:H4"/>
    <x:mergeCell ref="G5:H7"/>
    <x:mergeCell ref="J4:K4"/>
    <x:mergeCell ref="J5:K7"/>
    <x:mergeCell ref="M4:N4"/>
    <x:mergeCell ref="M5:N7"/>
    <x:mergeCell ref="A9:B9"/>
    <x:mergeCell ref="A10:B12"/>
    <x:mergeCell ref="D9:N9"/>
    <x:mergeCell ref="D10:N12"/>
    <x:mergeCell ref="A49:P50"/>
  </x:mergeCells>
  <x:pageMargins left="0.7" right="0.7" top="0.75" bottom="0.75" header="0.3" footer="0.3"/>
  <x:drawing xmlns:r="http://schemas.openxmlformats.org/officeDocument/2006/relationships" r:id="R83a10fa47e52400a"/>
</x:worksheet>
</file>