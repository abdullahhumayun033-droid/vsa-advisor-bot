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39bd3513344d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Overview" sheetId="1" r:id="R1ad61f303b414d66"/>
    <x:sheet xmlns:r="http://schemas.openxmlformats.org/officeDocument/2006/relationships" name="Settings" sheetId="2" r:id="Rf5d21f3631a84e89"/>
    <x:sheet xmlns:r="http://schemas.openxmlformats.org/officeDocument/2006/relationships" name="Workplan" sheetId="3" r:id="Re82db3ce57ef4301"/>
    <x:sheet xmlns:r="http://schemas.openxmlformats.org/officeDocument/2006/relationships" name="Gantt" sheetId="4" r:id="Ra09ef16fb8074f08"/>
    <x:sheet xmlns:r="http://schemas.openxmlformats.org/officeDocument/2006/relationships" name="Milestone Timeline" sheetId="5" r:id="Rfd8f69bd7ab74935"/>
    <x:sheet xmlns:r="http://schemas.openxmlformats.org/officeDocument/2006/relationships" name="Risks and Controls" sheetId="6" r:id="R5bc06d4fc38840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-mmm-yyyy"/>
    <x:numFmt numFmtId="201" formatCode="0"/>
    <x:numFmt numFmtId="202" formatCode="0%"/>
    <x:numFmt numFmtId="203" formatCode="dd-mmm"/>
    <x:numFmt numFmtId="204" formatCode=";;;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B6573"/>
      <x:name val="Carlito"/>
    </x:font>
    <x:font>
      <x:b/>
      <x:sz val="11"/>
      <x:color rgb="FF17365D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0"/>
      <x:color rgb="FF17365D"/>
      <x:name val="Carlito"/>
    </x:font>
    <x:font>
      <x:b/>
      <x:sz val="10"/>
      <x:color rgb="FF5B6573"/>
      <x:name val="Carlito"/>
    </x:font>
    <x:font>
      <x:b/>
      <x:sz val="17"/>
      <x:color rgb="FF17365D"/>
      <x:name val="Carlito"/>
    </x:font>
    <x:font>
      <x:sz val="11"/>
      <x:color rgb="FF17365D"/>
      <x:name val="Carlito"/>
    </x:font>
    <x:font>
      <x:b/>
      <x:sz val="11"/>
      <x:color rgb="FF2F855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2E75B6"/>
      </x:patternFill>
    </x:fill>
    <x:fill>
      <x:patternFill patternType="solid">
        <x:fgColor rgb="FFF3F5F7"/>
      </x:patternFill>
    </x:fill>
    <x:fill>
      <x:patternFill patternType="solid">
        <x:fgColor rgb="FFE2F0D9"/>
      </x:patternFill>
    </x:fill>
  </x:fills>
  <x:borders count="22">
    <x:border/>
    <x:border>
      <x:left style="thin">
        <x:color rgb="FFCCD4DD"/>
      </x:left>
      <x:right style="thin">
        <x:color rgb="FFCCD4DD"/>
      </x:right>
      <x:top style="thin">
        <x:color rgb="FFCCD4DD"/>
      </x:top>
      <x:bottom style="thin">
        <x:color rgb="FFCCD4DD"/>
      </x:bottom>
    </x:border>
    <x:border>
      <x:left style="thin">
        <x:color rgb="FFCCD4DD"/>
      </x:left>
      <x:top style="thin">
        <x:color rgb="FFCCD4DD"/>
      </x:top>
      <x:bottom style="thin">
        <x:color rgb="FFCCD4DD"/>
      </x:bottom>
    </x:border>
    <x:border>
      <x:top style="thin">
        <x:color rgb="FFCCD4DD"/>
      </x:top>
      <x:bottom style="thin">
        <x:color rgb="FFCCD4DD"/>
      </x:bottom>
    </x:border>
    <x:border>
      <x:right style="thin">
        <x:color rgb="FFCCD4DD"/>
      </x:right>
      <x:top style="thin">
        <x:color rgb="FFCCD4DD"/>
      </x:top>
      <x:bottom style="thin">
        <x:color rgb="FFCCD4DD"/>
      </x:bottom>
    </x:border>
    <x:border>
      <x:bottom style="thin">
        <x:color rgb="FFE5E9EF"/>
      </x:bottom>
    </x:border>
    <x:border>
      <x:top style="thin">
        <x:color rgb="FFE5E9EF"/>
      </x:top>
      <x:bottom style="thin">
        <x:color rgb="FFE5E9EF"/>
      </x:bottom>
    </x:border>
    <x:border>
      <x:top style="thin">
        <x:color rgb="FFE5E9EF"/>
      </x:top>
      <x:bottom style="thin">
        <x:color rgb="FFCCD4DD"/>
      </x:bottom>
    </x:border>
    <x:border>
      <x:left style="thin">
        <x:color rgb="FFCCD4DD"/>
      </x:left>
      <x:top style="thin">
        <x:color rgb="FFCCD4DD"/>
      </x:top>
    </x:border>
    <x:border>
      <x:right style="thin">
        <x:color rgb="FFCCD4DD"/>
      </x:right>
      <x:top style="thin">
        <x:color rgb="FFCCD4DD"/>
      </x:top>
    </x:border>
    <x:border>
      <x:left style="thin">
        <x:color rgb="FFCCD4DD"/>
      </x:left>
    </x:border>
    <x:border>
      <x:right style="thin">
        <x:color rgb="FFCCD4DD"/>
      </x:right>
    </x:border>
    <x:border>
      <x:left style="thin">
        <x:color rgb="FFCCD4DD"/>
      </x:left>
      <x:bottom style="thin">
        <x:color rgb="FFCCD4DD"/>
      </x:bottom>
    </x:border>
    <x:border>
      <x:right style="thin">
        <x:color rgb="FFCCD4DD"/>
      </x:right>
      <x:bottom style="thin">
        <x:color rgb="FFCCD4DD"/>
      </x:bottom>
    </x:border>
    <x:border>
      <x:top style="thin">
        <x:color rgb="FFCCD4DD"/>
      </x:top>
    </x:border>
    <x:border>
      <x:bottom style="thin">
        <x:color rgb="FFCCD4DD"/>
      </x:bottom>
    </x:border>
    <x:border>
      <x:left style="thin">
        <x:color rgb="FF2F855A"/>
      </x:left>
      <x:top style="thin">
        <x:color rgb="FF2F855A"/>
      </x:top>
    </x:border>
    <x:border>
      <x:top style="thin">
        <x:color rgb="FF2F855A"/>
      </x:top>
    </x:border>
    <x:border>
      <x:right style="thin">
        <x:color rgb="FF2F855A"/>
      </x:right>
      <x:top style="thin">
        <x:color rgb="FF2F855A"/>
      </x:top>
    </x:border>
    <x:border>
      <x:left style="thin">
        <x:color rgb="FF2F855A"/>
      </x:left>
      <x:bottom style="thin">
        <x:color rgb="FF2F855A"/>
      </x:bottom>
    </x:border>
    <x:border>
      <x:bottom style="thin">
        <x:color rgb="FF2F855A"/>
      </x:bottom>
    </x:border>
    <x:border>
      <x:right style="thin">
        <x:color rgb="FF2F855A"/>
      </x:right>
      <x:bottom style="thin">
        <x:color rgb="FF2F855A"/>
      </x:bottom>
    </x:border>
  </x:borders>
  <x:cellStyleXfs count="1">
    <x:xf numFmtId="0" fontId="0" fillId="0" borderId="0"/>
  </x:cellStyleXfs>
  <x:cellXfs count="1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5" fillId="6" borderId="4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vertical="center" wrapText="1"/>
    </x:xf>
    <x:xf numFmtId="200" fontId="6" fillId="0" borderId="5" xfId="0" applyNumberFormat="1" applyFont="1" applyFill="1" applyBorder="1" applyAlignment="1">
      <x:alignment vertical="center"/>
    </x:xf>
    <x:xf numFmtId="200" fontId="6" fillId="0" borderId="6" xfId="0" applyNumberFormat="1" applyFont="1" applyFill="1" applyBorder="1" applyAlignment="1">
      <x:alignment vertical="center"/>
    </x:xf>
    <x:xf numFmtId="200" fontId="6" fillId="0" borderId="7" xfId="0" applyNumberFormat="1" applyFont="1" applyFill="1" applyBorder="1" applyAlignment="1">
      <x:alignment vertical="center"/>
    </x:xf>
    <x:xf numFmtId="201" fontId="6" fillId="0" borderId="5" xfId="0" applyNumberFormat="1" applyFont="1" applyFill="1" applyBorder="1" applyAlignment="1">
      <x:alignment vertical="center"/>
    </x:xf>
    <x:xf numFmtId="201" fontId="6" fillId="0" borderId="6" xfId="0" applyNumberFormat="1" applyFont="1" applyFill="1" applyBorder="1" applyAlignment="1">
      <x:alignment vertical="center"/>
    </x:xf>
    <x:xf numFmtId="201" fontId="6" fillId="0" borderId="7" xfId="0" applyNumberFormat="1" applyFont="1" applyFill="1" applyBorder="1" applyAlignment="1">
      <x:alignment vertical="center"/>
    </x:xf>
    <x:xf numFmtId="202" fontId="6" fillId="0" borderId="5" xfId="0" applyNumberFormat="1" applyFont="1" applyFill="1" applyBorder="1" applyAlignment="1">
      <x:alignment vertical="center"/>
    </x:xf>
    <x:xf numFmtId="202" fontId="6" fillId="0" borderId="6" xfId="0" applyNumberFormat="1" applyFont="1" applyFill="1" applyBorder="1" applyAlignment="1">
      <x:alignment vertical="center"/>
    </x:xf>
    <x:xf numFmtId="202" fontId="6" fillId="0" borderId="7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 wrapText="1"/>
    </x:xf>
    <x:xf numFmtId="200" fontId="6" fillId="0" borderId="5" xfId="0" applyNumberFormat="1" applyFont="1" applyFill="1" applyBorder="1" applyAlignment="1">
      <x:alignment vertical="center" wrapText="1"/>
    </x:xf>
    <x:xf numFmtId="201" fontId="6" fillId="0" borderId="5" xfId="0" applyNumberFormat="1" applyFont="1" applyFill="1" applyBorder="1" applyAlignment="1">
      <x:alignment vertical="center" wrapText="1"/>
    </x:xf>
    <x:xf numFmtId="202" fontId="6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200" fontId="6" fillId="0" borderId="6" xfId="0" applyNumberFormat="1" applyFont="1" applyFill="1" applyBorder="1" applyAlignment="1">
      <x:alignment vertical="center" wrapText="1"/>
    </x:xf>
    <x:xf numFmtId="201" fontId="6" fillId="0" borderId="6" xfId="0" applyNumberFormat="1" applyFont="1" applyFill="1" applyBorder="1" applyAlignment="1">
      <x:alignment vertical="center" wrapText="1"/>
    </x:xf>
    <x:xf numFmtId="202" fontId="6" fillId="0" borderId="6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200" fontId="6" fillId="0" borderId="7" xfId="0" applyNumberFormat="1" applyFont="1" applyFill="1" applyBorder="1" applyAlignment="1">
      <x:alignment vertical="center" wrapText="1"/>
    </x:xf>
    <x:xf numFmtId="201" fontId="6" fillId="0" borderId="7" xfId="0" applyNumberFormat="1" applyFont="1" applyFill="1" applyBorder="1" applyAlignment="1">
      <x:alignment vertical="center" wrapText="1"/>
    </x:xf>
    <x:xf numFmtId="202" fontId="6" fillId="0" borderId="7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203" fontId="7" fillId="4" borderId="1" xfId="0" applyNumberFormat="1" applyFont="1" applyFill="1" applyBorder="1" applyAlignment="1">
      <x:alignment vertical="center" wrapText="1"/>
    </x:xf>
    <x:xf numFmtId="203" fontId="6" fillId="0" borderId="5" xfId="0" applyNumberFormat="1" applyFont="1" applyFill="1" applyBorder="1" applyAlignment="1">
      <x:alignment vertical="center"/>
    </x:xf>
    <x:xf numFmtId="203" fontId="6" fillId="0" borderId="6" xfId="0" applyNumberFormat="1" applyFont="1" applyFill="1" applyBorder="1" applyAlignment="1">
      <x:alignment vertical="center"/>
    </x:xf>
    <x:xf numFmtId="203" fontId="6" fillId="0" borderId="7" xfId="0" applyNumberFormat="1" applyFont="1" applyFill="1" applyBorder="1" applyAlignment="1">
      <x:alignment vertical="center"/>
    </x:xf>
    <x:xf numFmtId="204" fontId="6" fillId="0" borderId="5" xfId="0" applyNumberFormat="1" applyFont="1" applyFill="1" applyBorder="1" applyAlignment="1">
      <x:alignment vertical="center"/>
    </x:xf>
    <x:xf numFmtId="204" fontId="6" fillId="0" borderId="6" xfId="0" applyNumberFormat="1" applyFont="1" applyFill="1" applyBorder="1" applyAlignment="1">
      <x:alignment vertical="center"/>
    </x:xf>
    <x:xf numFmtId="204" fontId="6" fillId="0" borderId="7" xfId="0" applyNumberFormat="1" applyFont="1" applyFill="1" applyBorder="1" applyAlignment="1">
      <x:alignment vertical="center"/>
    </x:xf>
    <x:xf numFmtId="203" fontId="6" fillId="0" borderId="5" xfId="0" applyNumberFormat="1" applyFont="1" applyFill="1" applyBorder="1" applyAlignment="1">
      <x:alignment vertical="center" wrapText="1"/>
    </x:xf>
    <x:xf numFmtId="204" fontId="6" fillId="0" borderId="5" xfId="0" applyNumberFormat="1" applyFont="1" applyFill="1" applyBorder="1" applyAlignment="1">
      <x:alignment vertical="center" wrapText="1"/>
    </x:xf>
    <x:xf numFmtId="203" fontId="6" fillId="0" borderId="6" xfId="0" applyNumberFormat="1" applyFont="1" applyFill="1" applyBorder="1" applyAlignment="1">
      <x:alignment vertical="center" wrapText="1"/>
    </x:xf>
    <x:xf numFmtId="204" fontId="6" fillId="0" borderId="6" xfId="0" applyNumberFormat="1" applyFont="1" applyFill="1" applyBorder="1" applyAlignment="1">
      <x:alignment vertical="center" wrapText="1"/>
    </x:xf>
    <x:xf numFmtId="203" fontId="6" fillId="0" borderId="7" xfId="0" applyNumberFormat="1" applyFont="1" applyFill="1" applyBorder="1" applyAlignment="1">
      <x:alignment vertical="center" wrapText="1"/>
    </x:xf>
    <x:xf numFmtId="204" fontId="6" fillId="0" borderId="7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2" xfId="0" applyNumberFormat="1" applyFont="1" applyFill="1" applyBorder="1"/>
    <x:xf numFmtId="0" fontId="8" fillId="7" borderId="4" xfId="0" applyNumberFormat="1" applyFont="1" applyFill="1" applyBorder="1"/>
    <x:xf numFmtId="0" fontId="8" fillId="7" borderId="2" xfId="0" applyNumberFormat="1" applyFont="1" applyFill="1" applyBorder="1" applyAlignment="1">
      <x:alignment horizontal="center"/>
    </x:xf>
    <x:xf numFmtId="0" fontId="8" fillId="7" borderId="4" xfId="0" applyNumberFormat="1" applyFont="1" applyFill="1" applyBorder="1" applyAlignment="1">
      <x:alignment horizontal="center"/>
    </x:xf>
    <x:xf numFmtId="0" fontId="8" fillId="7" borderId="2" xfId="0" applyNumberFormat="1" applyFont="1" applyFill="1" applyBorder="1" applyAlignment="1">
      <x:alignment horizontal="center" vertical="center"/>
    </x:xf>
    <x:xf numFmtId="0" fontId="8" fillId="7" borderId="4" xfId="0" applyNumberFormat="1" applyFont="1" applyFill="1" applyBorder="1" applyAlignment="1">
      <x:alignment horizontal="center" vertical="center"/>
    </x:xf>
    <x:xf numFmtId="0" fontId="9" fillId="5" borderId="0" xfId="0" applyNumberFormat="1" applyFont="1" applyFill="1" applyBorder="1"/>
    <x:xf numFmtId="0" fontId="9" fillId="5" borderId="8" xfId="0" applyNumberFormat="1" applyFont="1" applyFill="1" applyBorder="1"/>
    <x:xf numFmtId="0" fontId="9" fillId="5" borderId="9" xfId="0" applyNumberFormat="1" applyFont="1" applyFill="1" applyBorder="1"/>
    <x:xf numFmtId="0" fontId="9" fillId="5" borderId="10" xfId="0" applyNumberFormat="1" applyFont="1" applyFill="1" applyBorder="1"/>
    <x:xf numFmtId="0" fontId="9" fillId="5" borderId="11" xfId="0" applyNumberFormat="1" applyFont="1" applyFill="1" applyBorder="1"/>
    <x:xf numFmtId="0" fontId="9" fillId="5" borderId="12" xfId="0" applyNumberFormat="1" applyFont="1" applyFill="1" applyBorder="1"/>
    <x:xf numFmtId="0" fontId="9" fillId="5" borderId="13" xfId="0" applyNumberFormat="1" applyFont="1" applyFill="1" applyBorder="1"/>
    <x:xf numFmtId="200" fontId="9" fillId="5" borderId="8" xfId="0" applyNumberFormat="1" applyFont="1" applyFill="1" applyBorder="1"/>
    <x:xf numFmtId="200" fontId="9" fillId="5" borderId="9" xfId="0" applyNumberFormat="1" applyFont="1" applyFill="1" applyBorder="1"/>
    <x:xf numFmtId="200" fontId="9" fillId="5" borderId="10" xfId="0" applyNumberFormat="1" applyFont="1" applyFill="1" applyBorder="1"/>
    <x:xf numFmtId="200" fontId="9" fillId="5" borderId="11" xfId="0" applyNumberFormat="1" applyFont="1" applyFill="1" applyBorder="1"/>
    <x:xf numFmtId="200" fontId="9" fillId="5" borderId="12" xfId="0" applyNumberFormat="1" applyFont="1" applyFill="1" applyBorder="1"/>
    <x:xf numFmtId="200" fontId="9" fillId="5" borderId="13" xfId="0" applyNumberFormat="1" applyFont="1" applyFill="1" applyBorder="1"/>
    <x:xf numFmtId="200" fontId="9" fillId="5" borderId="8" xfId="0" applyNumberFormat="1" applyFont="1" applyFill="1" applyBorder="1" applyAlignment="1">
      <x:alignment horizontal="center"/>
    </x:xf>
    <x:xf numFmtId="200" fontId="9" fillId="5" borderId="9" xfId="0" applyNumberFormat="1" applyFont="1" applyFill="1" applyBorder="1" applyAlignment="1">
      <x:alignment horizontal="center"/>
    </x:xf>
    <x:xf numFmtId="200" fontId="9" fillId="5" borderId="10" xfId="0" applyNumberFormat="1" applyFont="1" applyFill="1" applyBorder="1" applyAlignment="1">
      <x:alignment horizontal="center"/>
    </x:xf>
    <x:xf numFmtId="200" fontId="9" fillId="5" borderId="11" xfId="0" applyNumberFormat="1" applyFont="1" applyFill="1" applyBorder="1" applyAlignment="1">
      <x:alignment horizontal="center"/>
    </x:xf>
    <x:xf numFmtId="200" fontId="9" fillId="5" borderId="12" xfId="0" applyNumberFormat="1" applyFont="1" applyFill="1" applyBorder="1" applyAlignment="1">
      <x:alignment horizontal="center"/>
    </x:xf>
    <x:xf numFmtId="200" fontId="9" fillId="5" borderId="13" xfId="0" applyNumberFormat="1" applyFont="1" applyFill="1" applyBorder="1" applyAlignment="1">
      <x:alignment horizontal="center"/>
    </x:xf>
    <x:xf numFmtId="200" fontId="9" fillId="5" borderId="8" xfId="0" applyNumberFormat="1" applyFont="1" applyFill="1" applyBorder="1" applyAlignment="1">
      <x:alignment horizontal="center" vertical="center"/>
    </x:xf>
    <x:xf numFmtId="200" fontId="9" fillId="5" borderId="9" xfId="0" applyNumberFormat="1" applyFont="1" applyFill="1" applyBorder="1" applyAlignment="1">
      <x:alignment horizontal="center" vertical="center"/>
    </x:xf>
    <x:xf numFmtId="200" fontId="9" fillId="5" borderId="10" xfId="0" applyNumberFormat="1" applyFont="1" applyFill="1" applyBorder="1" applyAlignment="1">
      <x:alignment horizontal="center" vertical="center"/>
    </x:xf>
    <x:xf numFmtId="200" fontId="9" fillId="5" borderId="11" xfId="0" applyNumberFormat="1" applyFont="1" applyFill="1" applyBorder="1" applyAlignment="1">
      <x:alignment horizontal="center" vertical="center"/>
    </x:xf>
    <x:xf numFmtId="200" fontId="9" fillId="5" borderId="12" xfId="0" applyNumberFormat="1" applyFont="1" applyFill="1" applyBorder="1" applyAlignment="1">
      <x:alignment horizontal="center" vertical="center"/>
    </x:xf>
    <x:xf numFmtId="200" fontId="9" fillId="5" borderId="13" xfId="0" applyNumberFormat="1" applyFont="1" applyFill="1" applyBorder="1" applyAlignment="1">
      <x:alignment horizontal="center" vertical="center"/>
    </x:xf>
    <x:xf numFmtId="201" fontId="9" fillId="5" borderId="8" xfId="0" applyNumberFormat="1" applyFont="1" applyFill="1" applyBorder="1"/>
    <x:xf numFmtId="201" fontId="9" fillId="5" borderId="9" xfId="0" applyNumberFormat="1" applyFont="1" applyFill="1" applyBorder="1"/>
    <x:xf numFmtId="201" fontId="9" fillId="5" borderId="10" xfId="0" applyNumberFormat="1" applyFont="1" applyFill="1" applyBorder="1"/>
    <x:xf numFmtId="201" fontId="9" fillId="5" borderId="11" xfId="0" applyNumberFormat="1" applyFont="1" applyFill="1" applyBorder="1"/>
    <x:xf numFmtId="201" fontId="9" fillId="5" borderId="12" xfId="0" applyNumberFormat="1" applyFont="1" applyFill="1" applyBorder="1"/>
    <x:xf numFmtId="201" fontId="9" fillId="5" borderId="13" xfId="0" applyNumberFormat="1" applyFont="1" applyFill="1" applyBorder="1"/>
    <x:xf numFmtId="201" fontId="9" fillId="5" borderId="8" xfId="0" applyNumberFormat="1" applyFont="1" applyFill="1" applyBorder="1" applyAlignment="1">
      <x:alignment horizontal="center"/>
    </x:xf>
    <x:xf numFmtId="201" fontId="9" fillId="5" borderId="9" xfId="0" applyNumberFormat="1" applyFont="1" applyFill="1" applyBorder="1" applyAlignment="1">
      <x:alignment horizontal="center"/>
    </x:xf>
    <x:xf numFmtId="201" fontId="9" fillId="5" borderId="10" xfId="0" applyNumberFormat="1" applyFont="1" applyFill="1" applyBorder="1" applyAlignment="1">
      <x:alignment horizontal="center"/>
    </x:xf>
    <x:xf numFmtId="201" fontId="9" fillId="5" borderId="11" xfId="0" applyNumberFormat="1" applyFont="1" applyFill="1" applyBorder="1" applyAlignment="1">
      <x:alignment horizontal="center"/>
    </x:xf>
    <x:xf numFmtId="201" fontId="9" fillId="5" borderId="12" xfId="0" applyNumberFormat="1" applyFont="1" applyFill="1" applyBorder="1" applyAlignment="1">
      <x:alignment horizontal="center"/>
    </x:xf>
    <x:xf numFmtId="201" fontId="9" fillId="5" borderId="13" xfId="0" applyNumberFormat="1" applyFont="1" applyFill="1" applyBorder="1" applyAlignment="1">
      <x:alignment horizontal="center"/>
    </x:xf>
    <x:xf numFmtId="201" fontId="9" fillId="5" borderId="8" xfId="0" applyNumberFormat="1" applyFont="1" applyFill="1" applyBorder="1" applyAlignment="1">
      <x:alignment horizontal="center" vertical="center"/>
    </x:xf>
    <x:xf numFmtId="201" fontId="9" fillId="5" borderId="9" xfId="0" applyNumberFormat="1" applyFont="1" applyFill="1" applyBorder="1" applyAlignment="1">
      <x:alignment horizontal="center" vertical="center"/>
    </x:xf>
    <x:xf numFmtId="201" fontId="9" fillId="5" borderId="10" xfId="0" applyNumberFormat="1" applyFont="1" applyFill="1" applyBorder="1" applyAlignment="1">
      <x:alignment horizontal="center" vertical="center"/>
    </x:xf>
    <x:xf numFmtId="201" fontId="9" fillId="5" borderId="11" xfId="0" applyNumberFormat="1" applyFont="1" applyFill="1" applyBorder="1" applyAlignment="1">
      <x:alignment horizontal="center" vertical="center"/>
    </x:xf>
    <x:xf numFmtId="201" fontId="9" fillId="5" borderId="12" xfId="0" applyNumberFormat="1" applyFont="1" applyFill="1" applyBorder="1" applyAlignment="1">
      <x:alignment horizontal="center" vertical="center"/>
    </x:xf>
    <x:xf numFmtId="201" fontId="9" fillId="5" borderId="13" xfId="0" applyNumberFormat="1" applyFont="1" applyFill="1" applyBorder="1" applyAlignment="1">
      <x:alignment horizontal="center" vertical="center"/>
    </x:xf>
    <x:xf numFmtId="202" fontId="9" fillId="5" borderId="8" xfId="0" applyNumberFormat="1" applyFont="1" applyFill="1" applyBorder="1"/>
    <x:xf numFmtId="202" fontId="9" fillId="5" borderId="9" xfId="0" applyNumberFormat="1" applyFont="1" applyFill="1" applyBorder="1"/>
    <x:xf numFmtId="202" fontId="9" fillId="5" borderId="10" xfId="0" applyNumberFormat="1" applyFont="1" applyFill="1" applyBorder="1"/>
    <x:xf numFmtId="202" fontId="9" fillId="5" borderId="11" xfId="0" applyNumberFormat="1" applyFont="1" applyFill="1" applyBorder="1"/>
    <x:xf numFmtId="202" fontId="9" fillId="5" borderId="12" xfId="0" applyNumberFormat="1" applyFont="1" applyFill="1" applyBorder="1"/>
    <x:xf numFmtId="202" fontId="9" fillId="5" borderId="13" xfId="0" applyNumberFormat="1" applyFont="1" applyFill="1" applyBorder="1"/>
    <x:xf numFmtId="202" fontId="9" fillId="5" borderId="8" xfId="0" applyNumberFormat="1" applyFont="1" applyFill="1" applyBorder="1" applyAlignment="1">
      <x:alignment horizontal="center"/>
    </x:xf>
    <x:xf numFmtId="202" fontId="9" fillId="5" borderId="9" xfId="0" applyNumberFormat="1" applyFont="1" applyFill="1" applyBorder="1" applyAlignment="1">
      <x:alignment horizontal="center"/>
    </x:xf>
    <x:xf numFmtId="202" fontId="9" fillId="5" borderId="10" xfId="0" applyNumberFormat="1" applyFont="1" applyFill="1" applyBorder="1" applyAlignment="1">
      <x:alignment horizontal="center"/>
    </x:xf>
    <x:xf numFmtId="202" fontId="9" fillId="5" borderId="11" xfId="0" applyNumberFormat="1" applyFont="1" applyFill="1" applyBorder="1" applyAlignment="1">
      <x:alignment horizontal="center"/>
    </x:xf>
    <x:xf numFmtId="202" fontId="9" fillId="5" borderId="12" xfId="0" applyNumberFormat="1" applyFont="1" applyFill="1" applyBorder="1" applyAlignment="1">
      <x:alignment horizontal="center"/>
    </x:xf>
    <x:xf numFmtId="202" fontId="9" fillId="5" borderId="13" xfId="0" applyNumberFormat="1" applyFont="1" applyFill="1" applyBorder="1" applyAlignment="1">
      <x:alignment horizontal="center"/>
    </x:xf>
    <x:xf numFmtId="202" fontId="9" fillId="5" borderId="8" xfId="0" applyNumberFormat="1" applyFont="1" applyFill="1" applyBorder="1" applyAlignment="1">
      <x:alignment horizontal="center" vertical="center"/>
    </x:xf>
    <x:xf numFmtId="202" fontId="9" fillId="5" borderId="9" xfId="0" applyNumberFormat="1" applyFont="1" applyFill="1" applyBorder="1" applyAlignment="1">
      <x:alignment horizontal="center" vertical="center"/>
    </x:xf>
    <x:xf numFmtId="202" fontId="9" fillId="5" borderId="10" xfId="0" applyNumberFormat="1" applyFont="1" applyFill="1" applyBorder="1" applyAlignment="1">
      <x:alignment horizontal="center" vertical="center"/>
    </x:xf>
    <x:xf numFmtId="202" fontId="9" fillId="5" borderId="11" xfId="0" applyNumberFormat="1" applyFont="1" applyFill="1" applyBorder="1" applyAlignment="1">
      <x:alignment horizontal="center" vertical="center"/>
    </x:xf>
    <x:xf numFmtId="202" fontId="9" fillId="5" borderId="12" xfId="0" applyNumberFormat="1" applyFont="1" applyFill="1" applyBorder="1" applyAlignment="1">
      <x:alignment horizontal="center" vertical="center"/>
    </x:xf>
    <x:xf numFmtId="202" fontId="9" fillId="5" borderId="13" xfId="0" applyNumberFormat="1" applyFont="1" applyFill="1" applyBorder="1" applyAlignment="1">
      <x:alignment horizontal="center" vertical="center"/>
    </x:xf>
    <x:xf numFmtId="0" fontId="10" fillId="3" borderId="0" xfId="0" applyNumberFormat="1" applyFont="1" applyFill="1" applyBorder="1"/>
    <x:xf numFmtId="0" fontId="10" fillId="3" borderId="8" xfId="0" applyNumberFormat="1" applyFont="1" applyFill="1" applyBorder="1"/>
    <x:xf numFmtId="0" fontId="10" fillId="3" borderId="14" xfId="0" applyNumberFormat="1" applyFont="1" applyFill="1" applyBorder="1"/>
    <x:xf numFmtId="0" fontId="10" fillId="3" borderId="9" xfId="0" applyNumberFormat="1" applyFont="1" applyFill="1" applyBorder="1"/>
    <x:xf numFmtId="0" fontId="10" fillId="3" borderId="10" xfId="0" applyNumberFormat="1" applyFont="1" applyFill="1" applyBorder="1"/>
    <x:xf numFmtId="0" fontId="10" fillId="3" borderId="11" xfId="0" applyNumberFormat="1" applyFont="1" applyFill="1" applyBorder="1"/>
    <x:xf numFmtId="0" fontId="10" fillId="3" borderId="12" xfId="0" applyNumberFormat="1" applyFont="1" applyFill="1" applyBorder="1"/>
    <x:xf numFmtId="0" fontId="10" fillId="3" borderId="15" xfId="0" applyNumberFormat="1" applyFont="1" applyFill="1" applyBorder="1"/>
    <x:xf numFmtId="0" fontId="10" fillId="3" borderId="13" xfId="0" applyNumberFormat="1" applyFont="1" applyFill="1" applyBorder="1"/>
    <x:xf numFmtId="0" fontId="10" fillId="3" borderId="8" xfId="0" applyNumberFormat="1" applyFont="1" applyFill="1" applyBorder="1" applyAlignment="1">
      <x:alignment wrapText="1"/>
    </x:xf>
    <x:xf numFmtId="0" fontId="10" fillId="3" borderId="14" xfId="0" applyNumberFormat="1" applyFont="1" applyFill="1" applyBorder="1" applyAlignment="1">
      <x:alignment wrapText="1"/>
    </x:xf>
    <x:xf numFmtId="0" fontId="10" fillId="3" borderId="9" xfId="0" applyNumberFormat="1" applyFont="1" applyFill="1" applyBorder="1" applyAlignment="1">
      <x:alignment wrapText="1"/>
    </x:xf>
    <x:xf numFmtId="0" fontId="10" fillId="3" borderId="1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wrapText="1"/>
    </x:xf>
    <x:xf numFmtId="0" fontId="10" fillId="3" borderId="11" xfId="0" applyNumberFormat="1" applyFont="1" applyFill="1" applyBorder="1" applyAlignment="1">
      <x:alignment wrapText="1"/>
    </x:xf>
    <x:xf numFmtId="0" fontId="10" fillId="3" borderId="12" xfId="0" applyNumberFormat="1" applyFont="1" applyFill="1" applyBorder="1" applyAlignment="1">
      <x:alignment wrapText="1"/>
    </x:xf>
    <x:xf numFmtId="0" fontId="10" fillId="3" borderId="15" xfId="0" applyNumberFormat="1" applyFont="1" applyFill="1" applyBorder="1" applyAlignment="1">
      <x:alignment wrapText="1"/>
    </x:xf>
    <x:xf numFmtId="0" fontId="10" fillId="3" borderId="13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16" xfId="0" applyNumberFormat="1" applyFont="1" applyFill="1" applyBorder="1"/>
    <x:xf numFmtId="0" fontId="11" fillId="8" borderId="17" xfId="0" applyNumberFormat="1" applyFont="1" applyFill="1" applyBorder="1"/>
    <x:xf numFmtId="0" fontId="11" fillId="8" borderId="18" xfId="0" applyNumberFormat="1" applyFont="1" applyFill="1" applyBorder="1"/>
    <x:xf numFmtId="0" fontId="11" fillId="8" borderId="19" xfId="0" applyNumberFormat="1" applyFont="1" applyFill="1" applyBorder="1"/>
    <x:xf numFmtId="0" fontId="11" fillId="8" borderId="20" xfId="0" applyNumberFormat="1" applyFont="1" applyFill="1" applyBorder="1"/>
    <x:xf numFmtId="0" fontId="11" fillId="8" borderId="21" xfId="0" applyNumberFormat="1" applyFont="1" applyFill="1" applyBorder="1"/>
    <x:xf numFmtId="0" fontId="11" fillId="8" borderId="16" xfId="0" applyNumberFormat="1" applyFont="1" applyFill="1" applyBorder="1" applyAlignment="1">
      <x:alignment wrapText="1"/>
    </x:xf>
    <x:xf numFmtId="0" fontId="11" fillId="8" borderId="17" xfId="0" applyNumberFormat="1" applyFont="1" applyFill="1" applyBorder="1" applyAlignment="1">
      <x:alignment wrapText="1"/>
    </x:xf>
    <x:xf numFmtId="0" fontId="11" fillId="8" borderId="18" xfId="0" applyNumberFormat="1" applyFont="1" applyFill="1" applyBorder="1" applyAlignment="1">
      <x:alignment wrapText="1"/>
    </x:xf>
    <x:xf numFmtId="0" fontId="11" fillId="8" borderId="19" xfId="0" applyNumberFormat="1" applyFont="1" applyFill="1" applyBorder="1" applyAlignment="1">
      <x:alignment wrapText="1"/>
    </x:xf>
    <x:xf numFmtId="0" fontId="11" fillId="8" borderId="20" xfId="0" applyNumberFormat="1" applyFont="1" applyFill="1" applyBorder="1" applyAlignment="1">
      <x:alignment wrapText="1"/>
    </x:xf>
    <x:xf numFmtId="0" fontId="11" fillId="8" borderId="21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b/>
        <x:color rgb="FF2F855A"/>
      </x:font>
      <x:fill>
        <x:patternFill patternType="solid">
          <x:bgColor rgb="FFE2F0D9"/>
        </x:patternFill>
      </x:fill>
    </x:dxf>
    <x:dxf>
      <x:font>
        <x:b/>
        <x:color rgb="FFD97706"/>
      </x:font>
      <x:fill>
        <x:patternFill patternType="solid">
          <x:bgColor rgb="FFFFF2CC"/>
        </x:patternFill>
      </x:fill>
    </x:dxf>
    <x:dxf>
      <x:font>
        <x:color rgb="FF5B6573"/>
      </x:font>
      <x:fill>
        <x:patternFill patternType="solid">
          <x:bgColor rgb="FFF3F5F7"/>
        </x:patternFill>
      </x:fill>
    </x:dxf>
    <x:dxf>
      <x:fill>
        <x:patternFill patternType="solid">
          <x:bgColor rgb="FF2F855A"/>
        </x:patternFill>
      </x:fill>
    </x:dxf>
    <x:dxf>
      <x:fill>
        <x:patternFill patternType="solid">
          <x:bgColor rgb="FFD97706"/>
        </x:patternFill>
      </x:fill>
    </x:dxf>
    <x:dxf>
      <x:fill>
        <x:patternFill patternType="solid">
          <x:bgColor rgb="FF2E75B6"/>
        </x:patternFill>
      </x:fill>
    </x:dxf>
    <x:dxf>
      <x:font>
        <x:b/>
        <x:color rgb="FF2F855A"/>
      </x:font>
      <x:fill>
        <x:patternFill patternType="solid">
          <x:bgColor rgb="FFE2F0D9"/>
        </x:patternFill>
      </x:fill>
    </x:dxf>
    <x:dxf>
      <x:font>
        <x:color rgb="FF2E75B6"/>
      </x:font>
      <x:fill>
        <x:patternFill patternType="solid">
          <x:bgColor rgb="FFEAF3F8"/>
        </x:patternFill>
      </x:fill>
    </x:dxf>
    <x:dxf>
      <x:font>
        <x:b/>
        <x:color rgb="FFC53030"/>
      </x:font>
      <x:fill>
        <x:patternFill patternType="solid">
          <x:bgColor rgb="FFFCE8E6"/>
        </x:patternFill>
      </x:fill>
    </x:dxf>
    <x:dxf>
      <x:font>
        <x:b/>
        <x:color rgb="FFC53030"/>
      </x:font>
      <x:fill>
        <x:patternFill patternType="solid">
          <x:bgColor rgb="FFFCE8E6"/>
        </x:patternFill>
      </x:fill>
    </x:dxf>
    <x:dxf>
      <x:font>
        <x:color rgb="FFD97706"/>
      </x:font>
      <x:fill>
        <x:patternFill patternType="solid">
          <x:bgColor rgb="FFFFF2CC"/>
        </x:patternFill>
      </x:fill>
    </x:dxf>
    <x:dxf>
      <x:font>
        <x:b/>
        <x:color rgb="FF2F855A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d67251c7204221" /><Relationship Type="http://schemas.openxmlformats.org/officeDocument/2006/relationships/theme" Target="/xl/theme/theme1.xml" Id="R6792e9c1675b4394" /><Relationship Type="http://schemas.openxmlformats.org/officeDocument/2006/relationships/sharedStrings" Target="/xl/sharedStrings.xml" Id="Reaa3f27df8ed4e67" /><Relationship Type="http://schemas.openxmlformats.org/officeDocument/2006/relationships/worksheet" Target="/xl/worksheets/sheet1.xml" Id="R1ad61f303b414d66" /><Relationship Type="http://schemas.openxmlformats.org/officeDocument/2006/relationships/worksheet" Target="/xl/worksheets/sheet2.xml" Id="Rf5d21f3631a84e89" /><Relationship Type="http://schemas.openxmlformats.org/officeDocument/2006/relationships/worksheet" Target="/xl/worksheets/sheet3.xml" Id="Re82db3ce57ef4301" /><Relationship Type="http://schemas.openxmlformats.org/officeDocument/2006/relationships/worksheet" Target="/xl/worksheets/sheet4.xml" Id="Ra09ef16fb8074f08" /><Relationship Type="http://schemas.openxmlformats.org/officeDocument/2006/relationships/worksheet" Target="/xl/worksheets/sheet5.xml" Id="Rfd8f69bd7ab74935" /><Relationship Type="http://schemas.openxmlformats.org/officeDocument/2006/relationships/worksheet" Target="/xl/worksheets/sheet6.xml" Id="R5bc06d4fc388405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c9e59186c28463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Milestone Timeline — Days from Project Start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Elapsed days</c:v>
          </c:tx>
          <c:spPr>
            <a:solidFill xmlns:a="http://schemas.openxmlformats.org/drawingml/2006/main">
              <a:srgbClr val="2E75B6"/>
            </a:solidFill>
          </c:spPr>
          <c:cat>
            <c:strRef>
              <c:f>'Milestone Timeline'!$A$5:$A$16</c:f>
              <c:strCache>
                <c:ptCount val="0"/>
              </c:strCache>
            </c:strRef>
          </c:cat>
          <c:val>
            <c:numRef>
              <c:f>'Milestone Timeline'!$E$5:$E$16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9e59186c28463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jectWorkplanTable" displayName="ProjectWorkplanTable" ref="A3:M28" headerRowCount="1" totalsRowCount="0" totalsRowShown="0">
  <x:tableColumns count="13">
    <x:tableColumn id="1" name="ID"/>
    <x:tableColumn id="2" name="Phase"/>
    <x:tableColumn id="3" name="Task"/>
    <x:tableColumn id="4" name="Start"/>
    <x:tableColumn id="5" name="End"/>
    <x:tableColumn id="6" name="Duration (days)"/>
    <x:tableColumn id="7" name="Status"/>
    <x:tableColumn id="8" name="% Complete"/>
    <x:tableColumn id="9" name="Owner"/>
    <x:tableColumn id="10" name="Predecessor(s)"/>
    <x:tableColumn id="11" name="Deliverable / Evidence"/>
    <x:tableColumn id="12" name="Date Confidence"/>
    <x:tableColumn id="1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6a14a77a0064a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000c194858bc43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9" hidden="0" customWidth="1"/>
    <x:col min="3" max="3" width="42" hidden="0" customWidth="1"/>
    <x:col min="4" max="4" width="43" hidden="0" customWidth="1"/>
    <x:col min="5" max="5" width="4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VSA Advisor Bot — Project Completion Dashboard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8" t="str">
        <x:v>Workplan status as at 17 August 2026, with a fixed final submission deadline of 28 September 2026.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>
      <x:c r="A4" s="81" t="str">
        <x:v>Submission Date</x:v>
      </x:c>
      <x:c r="B4" s="82"/>
      <x:c r="D4" s="81" t="str">
        <x:v>Calendar Days Remaining</x:v>
      </x:c>
      <x:c r="E4" s="82"/>
      <x:c r="G4" s="81" t="str">
        <x:v>Completed Tasks</x:v>
      </x:c>
      <x:c r="H4" s="82"/>
      <x:c r="J4" s="81" t="str">
        <x:v>In Progress</x:v>
      </x:c>
      <x:c r="K4" s="82"/>
      <x:c r="M4" s="81" t="str">
        <x:v>Overall Plan Completion</x:v>
      </x:c>
      <x:c r="N4" s="82"/>
    </x:row>
    <x:row r="5">
      <x:c r="A5" s="102" t="n">
        <x:f>'Settings'!$B$6</x:f>
        <x:v>46293</x:v>
      </x:c>
      <x:c r="B5" s="103"/>
      <x:c r="D5" s="120" t="n">
        <x:f>'Settings'!$B$6-'Settings'!$B$4</x:f>
        <x:v>42</x:v>
      </x:c>
      <x:c r="E5" s="121"/>
      <x:c r="G5" s="120" t="n">
        <x:f>COUNTIF('Workplan'!$G$4:$G$28,"Complete")</x:f>
        <x:v>14</x:v>
      </x:c>
      <x:c r="H5" s="121"/>
      <x:c r="J5" s="120" t="n">
        <x:f>COUNTIF('Workplan'!$G$4:$G$28,"In progress")</x:f>
        <x:v>0</x:v>
      </x:c>
      <x:c r="K5" s="121"/>
      <x:c r="M5" s="138" t="n">
        <x:f>SUMPRODUCT('Workplan'!$F$4:$F$28,'Workplan'!$H$4:$H$28)/SUM('Workplan'!$F$4:$F$28)</x:f>
        <x:v>0.6917293233082706</x:v>
      </x:c>
      <x:c r="N5" s="139"/>
    </x:row>
    <x:row r="6">
      <x:c r="A6" s="104"/>
      <x:c r="B6" s="105"/>
      <x:c r="D6" s="122"/>
      <x:c r="E6" s="123"/>
      <x:c r="G6" s="122"/>
      <x:c r="H6" s="123"/>
      <x:c r="J6" s="122"/>
      <x:c r="K6" s="123"/>
      <x:c r="M6" s="140"/>
      <x:c r="N6" s="141"/>
    </x:row>
    <x:row r="7">
      <x:c r="A7" s="106"/>
      <x:c r="B7" s="107"/>
      <x:c r="D7" s="124"/>
      <x:c r="E7" s="125"/>
      <x:c r="G7" s="124"/>
      <x:c r="H7" s="125"/>
      <x:c r="J7" s="124"/>
      <x:c r="K7" s="125"/>
      <x:c r="M7" s="142"/>
      <x:c r="N7" s="143"/>
    </x:row>
    <x:row r="10">
      <x:c r="A10" s="24" t="str">
        <x:v>Critical path to submission</x:v>
      </x:c>
      <x:c r="B10" s="25"/>
      <x:c r="C10" s="25"/>
      <x:c r="D10" s="25"/>
      <x:c r="E10" s="25"/>
      <x:c r="F10" s="25"/>
      <x:c r="G10" s="25"/>
      <x:c r="H10" s="25"/>
      <x:c r="I10" s="25"/>
      <x:c r="J10" s="25"/>
      <x:c r="K10" s="25"/>
      <x:c r="L10" s="25"/>
      <x:c r="M10" s="25"/>
      <x:c r="N10" s="26"/>
    </x:row>
    <x:row r="12">
      <x:c r="A12" s="37" t="str">
        <x:v>Window</x:v>
      </x:c>
      <x:c r="B12" s="37" t="str">
        <x:v>Priority</x:v>
      </x:c>
      <x:c r="C12" s="37" t="str">
        <x:v>Required Output</x:v>
      </x:c>
      <x:c r="D12" s="37" t="str">
        <x:v>Decision Gate</x:v>
      </x:c>
      <x:c r="F12" s="24" t="str">
        <x:v>Schedule safeguards</x:v>
      </x:c>
      <x:c r="G12" s="25"/>
      <x:c r="H12" s="25"/>
      <x:c r="I12" s="25"/>
      <x:c r="J12" s="25"/>
      <x:c r="K12" s="25"/>
      <x:c r="L12" s="25"/>
      <x:c r="M12" s="25"/>
      <x:c r="N12" s="26"/>
    </x:row>
    <x:row r="13" ht="34" customHeight="1">
      <x:c r="A13" s="47" t="str">
        <x:v>20 Aug–3 Sep</x:v>
      </x:c>
      <x:c r="B13" s="47" t="str">
        <x:v>Collect real user data</x:v>
      </x:c>
      <x:c r="C13" s="47" t="str">
        <x:v>10–15 signed/coded sessions</x:v>
      </x:c>
      <x:c r="D13" s="47" t="str">
        <x:v>Minimum 10 genuine participants</x:v>
      </x:c>
      <x:c r="F13" s="153" t="str">
        <x:v>• Recruitment starts before literature/report rewriting is finished so work proceeds in parallel.</x:v>
      </x:c>
      <x:c r="G13" s="154"/>
      <x:c r="H13" s="154"/>
      <x:c r="I13" s="154"/>
      <x:c r="J13" s="154"/>
      <x:c r="K13" s="154"/>
      <x:c r="L13" s="154"/>
      <x:c r="M13" s="154"/>
      <x:c r="N13" s="155"/>
    </x:row>
    <x:row r="14" ht="34" customHeight="1">
      <x:c r="A14" s="51" t="str">
        <x:v>4–8 Sep</x:v>
      </x:c>
      <x:c r="B14" s="51" t="str">
        <x:v>Analyse and improve</x:v>
      </x:c>
      <x:c r="C14" s="51" t="str">
        <x:v>Dashboard, themes and change log</x:v>
      </x:c>
      <x:c r="D14" s="51" t="str">
        <x:v>Every change justified by evidence</x:v>
      </x:c>
      <x:c r="F14" s="156" t="str">
        <x:v>• Feature freeze on 18 September protects the evidence and MP4 from late technical changes.</x:v>
      </x:c>
      <x:c r="G14" s="157"/>
      <x:c r="H14" s="157"/>
      <x:c r="I14" s="157"/>
      <x:c r="J14" s="157"/>
      <x:c r="K14" s="157"/>
      <x:c r="L14" s="157"/>
      <x:c r="M14" s="157"/>
      <x:c r="N14" s="158"/>
    </x:row>
    <x:row r="15" ht="34" customHeight="1">
      <x:c r="A15" s="51" t="str">
        <x:v>1–17 Sep</x:v>
      </x:c>
      <x:c r="B15" s="51" t="str">
        <x:v>Rewrite report</x:v>
      </x:c>
      <x:c r="C15" s="51" t="str">
        <x:v>Methods, results and limitations</x:v>
      </x:c>
      <x:c r="D15" s="51" t="str">
        <x:v>All thresholds/citations traceable</x:v>
      </x:c>
      <x:c r="F15" s="156" t="str">
        <x:v>• MP4 completes seven days before submission, leaving time for format/playback correction.</x:v>
      </x:c>
      <x:c r="G15" s="157"/>
      <x:c r="H15" s="157"/>
      <x:c r="I15" s="157"/>
      <x:c r="J15" s="157"/>
      <x:c r="K15" s="157"/>
      <x:c r="L15" s="157"/>
      <x:c r="M15" s="157"/>
      <x:c r="N15" s="158"/>
    </x:row>
    <x:row r="16" ht="34" customHeight="1">
      <x:c r="A16" s="51" t="str">
        <x:v>14–21 Sep</x:v>
      </x:c>
      <x:c r="B16" s="51" t="str">
        <x:v>Capture evidence and MP4</x:v>
      </x:c>
      <x:c r="C16" s="51" t="str">
        <x:v>Final screenshots and 3–5 min MP4</x:v>
      </x:c>
      <x:c r="D16" s="51" t="str">
        <x:v>Playback and format verified</x:v>
      </x:c>
      <x:c r="F16" s="156" t="str">
        <x:v>• Supervisor changes have a two-day bounded window before packaging.</x:v>
      </x:c>
      <x:c r="G16" s="157"/>
      <x:c r="H16" s="157"/>
      <x:c r="I16" s="157"/>
      <x:c r="J16" s="157"/>
      <x:c r="K16" s="157"/>
      <x:c r="L16" s="157"/>
      <x:c r="M16" s="157"/>
      <x:c r="N16" s="158"/>
    </x:row>
    <x:row r="17" ht="34" customHeight="1">
      <x:c r="A17" s="51" t="str">
        <x:v>19–25 Sep</x:v>
      </x:c>
      <x:c r="B17" s="51" t="str">
        <x:v>Quality and feedback</x:v>
      </x:c>
      <x:c r="C17" s="51" t="str">
        <x:v>Rubric audit and corrections</x:v>
      </x:c>
      <x:c r="D17" s="51" t="str">
        <x:v>Supervisor changes closed</x:v>
      </x:c>
      <x:c r="F17" s="156" t="str">
        <x:v>• Final package is tested and backed up one day before submission.</x:v>
      </x:c>
      <x:c r="G17" s="157"/>
      <x:c r="H17" s="157"/>
      <x:c r="I17" s="157"/>
      <x:c r="J17" s="157"/>
      <x:c r="K17" s="157"/>
      <x:c r="L17" s="157"/>
      <x:c r="M17" s="157"/>
      <x:c r="N17" s="158"/>
    </x:row>
    <x:row r="18" ht="34" customHeight="1">
      <x:c r="A18" s="55" t="str">
        <x:v>26–28 Sep</x:v>
      </x:c>
      <x:c r="B18" s="55" t="str">
        <x:v>Package and submit</x:v>
      </x:c>
      <x:c r="C18" s="55" t="str">
        <x:v>Backup, upload and receipt</x:v>
      </x:c>
      <x:c r="D18" s="55" t="str">
        <x:v>Submit by 28 September</x:v>
      </x:c>
      <x:c r="F18" s="159" t="str">
        <x:v>• Historic estimates remain visibly labelled and should be replaced with actual records where available.</x:v>
      </x:c>
      <x:c r="G18" s="160"/>
      <x:c r="H18" s="160"/>
      <x:c r="I18" s="160"/>
      <x:c r="J18" s="160"/>
      <x:c r="K18" s="160"/>
      <x:c r="L18" s="160"/>
      <x:c r="M18" s="160"/>
      <x:c r="N18" s="161"/>
    </x:row>
    <x:row r="21">
      <x:c r="A21" s="170" t="str">
        <x:v>Examiner alignment: this workbook supplies the missing complete/feasible workplan, makes dependencies visible, and creates a dated route to the required MP4 and final submission.</x:v>
      </x:c>
      <x:c r="B21" s="171"/>
      <x:c r="C21" s="171"/>
      <x:c r="D21" s="171"/>
      <x:c r="E21" s="171"/>
      <x:c r="F21" s="171"/>
      <x:c r="G21" s="171"/>
      <x:c r="H21" s="171"/>
      <x:c r="I21" s="171"/>
      <x:c r="J21" s="171"/>
      <x:c r="K21" s="171"/>
      <x:c r="L21" s="171"/>
      <x:c r="M21" s="171"/>
      <x:c r="N21" s="172"/>
    </x:row>
    <x:row r="22">
      <x:c r="A22" s="173"/>
      <x:c r="B22" s="174"/>
      <x:c r="C22" s="174"/>
      <x:c r="D22" s="174"/>
      <x:c r="E22" s="174"/>
      <x:c r="F22" s="174"/>
      <x:c r="G22" s="174"/>
      <x:c r="H22" s="174"/>
      <x:c r="I22" s="174"/>
      <x:c r="J22" s="174"/>
      <x:c r="K22" s="174"/>
      <x:c r="L22" s="174"/>
      <x:c r="M22" s="174"/>
      <x:c r="N22" s="175"/>
    </x:row>
  </x:sheetData>
  <x:mergeCells>
    <x:mergeCell ref="A1:N1"/>
    <x:mergeCell ref="A2:N2"/>
    <x:mergeCell ref="A4:B4"/>
    <x:mergeCell ref="A5:B7"/>
    <x:mergeCell ref="D4:E4"/>
    <x:mergeCell ref="D5:E7"/>
    <x:mergeCell ref="G4:H4"/>
    <x:mergeCell ref="G5:H7"/>
    <x:mergeCell ref="J4:K4"/>
    <x:mergeCell ref="J5:K7"/>
    <x:mergeCell ref="M4:N4"/>
    <x:mergeCell ref="M5:N7"/>
    <x:mergeCell ref="A10:N10"/>
    <x:mergeCell ref="F12:N12"/>
    <x:mergeCell ref="F13:N13"/>
    <x:mergeCell ref="F14:N14"/>
    <x:mergeCell ref="F15:N15"/>
    <x:mergeCell ref="F16:N16"/>
    <x:mergeCell ref="F17:N17"/>
    <x:mergeCell ref="F18:N18"/>
    <x:mergeCell ref="A21:N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82" hidden="0" customWidth="1"/>
  </x:cols>
  <x:sheetData>
    <x:row r="1" ht="34" customHeight="1">
      <x:c r="A1" s="4" t="str">
        <x:v>Project Planning Assumptions</x:v>
      </x:c>
      <x:c r="B1" s="4"/>
      <x:c r="C1" s="4"/>
      <x:c r="D1" s="4"/>
      <x:c r="E1" s="4"/>
      <x:c r="F1" s="4"/>
    </x:row>
    <x:row r="2" ht="28" customHeight="1">
      <x:c r="A2" s="8" t="str">
        <x:v>Confirmed dates and reconstructed estimates are explicitly separated so the workplan can be corrected without hiding uncertainty.</x:v>
      </x:c>
      <x:c r="B2" s="8"/>
      <x:c r="C2" s="8"/>
      <x:c r="D2" s="8"/>
      <x:c r="E2" s="8"/>
      <x:c r="F2" s="8"/>
    </x:row>
    <x:row r="4">
      <x:c r="A4" s="11" t="str">
        <x:v>Status date</x:v>
      </x:c>
      <x:c r="B4" s="15" t="n">
        <x:v>46251</x:v>
      </x:c>
    </x:row>
    <x:row r="5">
      <x:c r="A5" s="11" t="str">
        <x:v>Estimated project start</x:v>
      </x:c>
      <x:c r="B5" s="15" t="n">
        <x:v>46146</x:v>
      </x:c>
    </x:row>
    <x:row r="6">
      <x:c r="A6" s="11" t="str">
        <x:v>Final submission deadline</x:v>
      </x:c>
      <x:c r="B6" s="15" t="n">
        <x:v>46293</x:v>
      </x:c>
    </x:row>
    <x:row r="7">
      <x:c r="A7" s="11" t="str">
        <x:v>Target user-study sample</x:v>
      </x:c>
      <x:c r="B7" s="14" t="n">
        <x:v>15</x:v>
      </x:c>
    </x:row>
    <x:row r="10">
      <x:c r="A10" s="24" t="str">
        <x:v>Date confidence definitions</x:v>
      </x:c>
      <x:c r="B10" s="25"/>
      <x:c r="C10" s="25"/>
      <x:c r="D10" s="25"/>
      <x:c r="E10" s="25"/>
      <x:c r="F10" s="26"/>
    </x:row>
    <x:row r="11">
      <x:c r="A11" s="31" t="str">
        <x:v>Estimate</x:v>
      </x:c>
      <x:c r="B11" s="31" t="str">
        <x:v>Reconstructed historic planning date; replace with documentary evidence if available.</x:v>
      </x:c>
    </x:row>
    <x:row r="12">
      <x:c r="A12" s="32" t="str">
        <x:v>Confirmed</x:v>
      </x:c>
      <x:c r="B12" s="32" t="str">
        <x:v>Date supported by a completed artifact or evidence captured in the project.</x:v>
      </x:c>
    </x:row>
    <x:row r="13">
      <x:c r="A13" s="32" t="str">
        <x:v>Planned</x:v>
      </x:c>
      <x:c r="B13" s="32" t="str">
        <x:v>Forward schedule used to reach the final submission.</x:v>
      </x:c>
    </x:row>
    <x:row r="14">
      <x:c r="A14" s="33" t="str">
        <x:v>Fixed</x:v>
      </x:c>
      <x:c r="B14" s="33" t="str">
        <x:v>External deadline that must not move.</x:v>
      </x:c>
    </x:row>
  </x:sheetData>
  <x:mergeCells>
    <x:mergeCell ref="A1:F1"/>
    <x:mergeCell ref="A2:F2"/>
    <x:mergeCell ref="A10:F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7" hidden="0" customWidth="1"/>
    <x:col min="3" max="3" width="54" hidden="0" customWidth="1"/>
    <x:col min="4" max="4" width="14" hidden="0" customWidth="1"/>
    <x:col min="5" max="5" width="14" hidden="0" customWidth="1"/>
    <x:col min="6" max="6" width="15" hidden="0" customWidth="1"/>
    <x:col min="7" max="7" width="15" hidden="0" customWidth="1"/>
    <x:col min="8" max="8" width="13" hidden="0" customWidth="1"/>
    <x:col min="9" max="9" width="12" hidden="0" customWidth="1"/>
    <x:col min="10" max="10" width="16" hidden="0" customWidth="1"/>
    <x:col min="11" max="11" width="41" hidden="0" customWidth="1"/>
    <x:col min="12" max="12" width="16" hidden="0" customWidth="1"/>
    <x:col min="13" max="13" width="50" hidden="0" customWidth="1"/>
  </x:cols>
  <x:sheetData>
    <x:row r="1" ht="34" customHeight="1">
      <x:c r="A1" s="4" t="str">
        <x:v>VSA Advisor Bot — Complete Workplan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8" customHeight="1">
      <x:c r="A2" s="8" t="str">
        <x:v>Historic dates marked Estimate are editable; the forward plan is scheduled to the fixed 28 September 2026 submission.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3">
      <x:c r="A3" s="37" t="str">
        <x:v>ID</x:v>
      </x:c>
      <x:c r="B3" s="37" t="str">
        <x:v>Phase</x:v>
      </x:c>
      <x:c r="C3" s="37" t="str">
        <x:v>Task</x:v>
      </x:c>
      <x:c r="D3" s="37" t="str">
        <x:v>Start</x:v>
      </x:c>
      <x:c r="E3" s="37" t="str">
        <x:v>End</x:v>
      </x:c>
      <x:c r="F3" s="37" t="str">
        <x:v>Duration (days)</x:v>
      </x:c>
      <x:c r="G3" s="37" t="str">
        <x:v>Status</x:v>
      </x:c>
      <x:c r="H3" s="37" t="str">
        <x:v>% Complete</x:v>
      </x:c>
      <x:c r="I3" s="37" t="str">
        <x:v>Owner</x:v>
      </x:c>
      <x:c r="J3" s="37" t="str">
        <x:v>Predecessor(s)</x:v>
      </x:c>
      <x:c r="K3" s="37" t="str">
        <x:v>Deliverable / Evidence</x:v>
      </x:c>
      <x:c r="L3" s="37" t="str">
        <x:v>Date Confidence</x:v>
      </x:c>
      <x:c r="M3" s="37" t="str">
        <x:v>Notes</x:v>
      </x:c>
    </x:row>
    <x:row r="4" ht="40" customHeight="1">
      <x:c r="A4" s="47" t="n">
        <x:v>1</x:v>
      </x:c>
      <x:c r="B4" s="47" t="str">
        <x:v>Foundation</x:v>
      </x:c>
      <x:c r="C4" s="47" t="str">
        <x:v>Select Template 4.2 and define the financial-advisor concept</x:v>
      </x:c>
      <x:c r="D4" s="48" t="n">
        <x:v>46146</x:v>
      </x:c>
      <x:c r="E4" s="48" t="n">
        <x:v>46157</x:v>
      </x:c>
      <x:c r="F4" s="49" t="n">
        <x:f>E4-D4+1</x:f>
        <x:v>12</x:v>
      </x:c>
      <x:c r="G4" s="47" t="str">
        <x:v>Complete</x:v>
      </x:c>
      <x:c r="H4" s="50" t="n">
        <x:v>1</x:v>
      </x:c>
      <x:c r="I4" s="47" t="str">
        <x:v>Student</x:v>
      </x:c>
      <x:c r="J4" s="47" t="str">
        <x:v>—</x:v>
      </x:c>
      <x:c r="K4" s="47" t="str">
        <x:v>Template alignment and project concept</x:v>
      </x:c>
      <x:c r="L4" s="47" t="str">
        <x:v>Estimate</x:v>
      </x:c>
      <x:c r="M4" s="47" t="str">
        <x:v>Historic date reconstructed; replace if records exist.</x:v>
      </x:c>
    </x:row>
    <x:row r="5" ht="40" customHeight="1">
      <x:c r="A5" s="51" t="n">
        <x:v>2</x:v>
      </x:c>
      <x:c r="B5" s="51" t="str">
        <x:v>Foundation</x:v>
      </x:c>
      <x:c r="C5" s="51" t="str">
        <x:v>Identify target users, problem, ethical scope and non-advice boundary</x:v>
      </x:c>
      <x:c r="D5" s="52" t="n">
        <x:v>46153</x:v>
      </x:c>
      <x:c r="E5" s="52" t="n">
        <x:v>46164</x:v>
      </x:c>
      <x:c r="F5" s="53" t="n">
        <x:f>E5-D5+1</x:f>
        <x:v>12</x:v>
      </x:c>
      <x:c r="G5" s="51" t="str">
        <x:v>Complete</x:v>
      </x:c>
      <x:c r="H5" s="54" t="n">
        <x:v>1</x:v>
      </x:c>
      <x:c r="I5" s="51" t="str">
        <x:v>Student</x:v>
      </x:c>
      <x:c r="J5" s="51" t="str">
        <x:v>1</x:v>
      </x:c>
      <x:c r="K5" s="51" t="str">
        <x:v>User/domain requirements</x:v>
      </x:c>
      <x:c r="L5" s="51" t="str">
        <x:v>Estimate</x:v>
      </x:c>
      <x:c r="M5" s="51" t="str">
        <x:v>Core responsible-finance scope.</x:v>
      </x:c>
    </x:row>
    <x:row r="6" ht="40" customHeight="1">
      <x:c r="A6" s="51" t="n">
        <x:v>3</x:v>
      </x:c>
      <x:c r="B6" s="51" t="str">
        <x:v>Strategy</x:v>
      </x:c>
      <x:c r="C6" s="51" t="str">
        <x:v>Elicit and formalise mirrored VSA CAB Scenarios 1–3</x:v>
      </x:c>
      <x:c r="D6" s="52" t="n">
        <x:v>46160</x:v>
      </x:c>
      <x:c r="E6" s="52" t="n">
        <x:v>46171</x:v>
      </x:c>
      <x:c r="F6" s="53" t="n">
        <x:f>E6-D6+1</x:f>
        <x:v>12</x:v>
      </x:c>
      <x:c r="G6" s="51" t="str">
        <x:v>Complete</x:v>
      </x:c>
      <x:c r="H6" s="54" t="n">
        <x:v>1</x:v>
      </x:c>
      <x:c r="I6" s="51" t="str">
        <x:v>Student</x:v>
      </x:c>
      <x:c r="J6" s="51" t="str">
        <x:v>2</x:v>
      </x:c>
      <x:c r="K6" s="51" t="str">
        <x:v>Formal VSA rule specification</x:v>
      </x:c>
      <x:c r="L6" s="51" t="str">
        <x:v>Estimate</x:v>
      </x:c>
      <x:c r="M6" s="51" t="str">
        <x:v>Thresholds now implemented consistently.</x:v>
      </x:c>
    </x:row>
    <x:row r="7" ht="40" customHeight="1">
      <x:c r="A7" s="51" t="n">
        <x:v>4</x:v>
      </x:c>
      <x:c r="B7" s="51" t="str">
        <x:v>Research</x:v>
      </x:c>
      <x:c r="C7" s="51" t="str">
        <x:v>Draft literature review, architecture and evaluation strategy</x:v>
      </x:c>
      <x:c r="D7" s="52" t="n">
        <x:v>46160</x:v>
      </x:c>
      <x:c r="E7" s="52" t="n">
        <x:v>46192</x:v>
      </x:c>
      <x:c r="F7" s="53" t="n">
        <x:f>E7-D7+1</x:f>
        <x:v>33</x:v>
      </x:c>
      <x:c r="G7" s="51" t="str">
        <x:v>Complete</x:v>
      </x:c>
      <x:c r="H7" s="54" t="n">
        <x:v>1</x:v>
      </x:c>
      <x:c r="I7" s="51" t="str">
        <x:v>Student</x:v>
      </x:c>
      <x:c r="J7" s="51" t="str">
        <x:v>1</x:v>
      </x:c>
      <x:c r="K7" s="51" t="str">
        <x:v>Initial literature and design chapters</x:v>
      </x:c>
      <x:c r="L7" s="51" t="str">
        <x:v>Estimate</x:v>
      </x:c>
      <x:c r="M7" s="51" t="str">
        <x:v>Requires later strengthening and citation audit.</x:v>
      </x:c>
    </x:row>
    <x:row r="8" ht="40" customHeight="1">
      <x:c r="A8" s="51" t="n">
        <x:v>5</x:v>
      </x:c>
      <x:c r="B8" s="51" t="str">
        <x:v>Prototype</x:v>
      </x:c>
      <x:c r="C8" s="51" t="str">
        <x:v>Build feature prototype and submit preliminary report</x:v>
      </x:c>
      <x:c r="D8" s="52" t="n">
        <x:v>46174</x:v>
      </x:c>
      <x:c r="E8" s="52" t="n">
        <x:v>46202</x:v>
      </x:c>
      <x:c r="F8" s="53" t="n">
        <x:f>E8-D8+1</x:f>
        <x:v>29</x:v>
      </x:c>
      <x:c r="G8" s="51" t="str">
        <x:v>Complete</x:v>
      </x:c>
      <x:c r="H8" s="54" t="n">
        <x:v>1</x:v>
      </x:c>
      <x:c r="I8" s="51" t="str">
        <x:v>Student</x:v>
      </x:c>
      <x:c r="J8" s="51" t="str">
        <x:v>3,4</x:v>
      </x:c>
      <x:c r="K8" s="51" t="str">
        <x:v>Preliminary report and prototype</x:v>
      </x:c>
      <x:c r="L8" s="51" t="str">
        <x:v>Confirmed</x:v>
      </x:c>
      <x:c r="M8" s="51" t="str">
        <x:v>Report filename records 29 June.</x:v>
      </x:c>
    </x:row>
    <x:row r="9" ht="40" customHeight="1">
      <x:c r="A9" s="51" t="n">
        <x:v>6</x:v>
      </x:c>
      <x:c r="B9" s="51" t="str">
        <x:v>Data</x:v>
      </x:c>
      <x:c r="C9" s="51" t="str">
        <x:v>Acquire, clean and validate XAUUSD five-minute data</x:v>
      </x:c>
      <x:c r="D9" s="52" t="n">
        <x:v>46203</x:v>
      </x:c>
      <x:c r="E9" s="52" t="n">
        <x:v>46213</x:v>
      </x:c>
      <x:c r="F9" s="53" t="n">
        <x:f>E9-D9+1</x:f>
        <x:v>11</x:v>
      </x:c>
      <x:c r="G9" s="51" t="str">
        <x:v>Complete</x:v>
      </x:c>
      <x:c r="H9" s="54" t="n">
        <x:v>1</x:v>
      </x:c>
      <x:c r="I9" s="51" t="str">
        <x:v>Student</x:v>
      </x:c>
      <x:c r="J9" s="51" t="str">
        <x:v>5</x:v>
      </x:c>
      <x:c r="K9" s="51" t="str">
        <x:v>Clean M5 dataset</x:v>
      </x:c>
      <x:c r="L9" s="51" t="str">
        <x:v>Estimate</x:v>
      </x:c>
      <x:c r="M9" s="51" t="str">
        <x:v>143,020 bars available in current evidence.</x:v>
      </x:c>
    </x:row>
    <x:row r="10" ht="40" customHeight="1">
      <x:c r="A10" s="51" t="n">
        <x:v>7</x:v>
      </x:c>
      <x:c r="B10" s="51" t="str">
        <x:v>ML</x:v>
      </x:c>
      <x:c r="C10" s="51" t="str">
        <x:v>Extract formal VSA setups and generate outcome labels</x:v>
      </x:c>
      <x:c r="D10" s="52" t="n">
        <x:v>46209</x:v>
      </x:c>
      <x:c r="E10" s="52" t="n">
        <x:v>46223</x:v>
      </x:c>
      <x:c r="F10" s="53" t="n">
        <x:f>E10-D10+1</x:f>
        <x:v>15</x:v>
      </x:c>
      <x:c r="G10" s="51" t="str">
        <x:v>Complete</x:v>
      </x:c>
      <x:c r="H10" s="54" t="n">
        <x:v>1</x:v>
      </x:c>
      <x:c r="I10" s="51" t="str">
        <x:v>Student</x:v>
      </x:c>
      <x:c r="J10" s="51" t="str">
        <x:v>3,6</x:v>
      </x:c>
      <x:c r="K10" s="51" t="str">
        <x:v>431 labelled formal setups</x:v>
      </x:c>
      <x:c r="L10" s="51" t="str">
        <x:v>Estimate</x:v>
      </x:c>
      <x:c r="M10" s="51" t="str">
        <x:v>VSA determines candidates; labels measure 1R-before-stop.</x:v>
      </x:c>
    </x:row>
    <x:row r="11" ht="40" customHeight="1">
      <x:c r="A11" s="51" t="n">
        <x:v>8</x:v>
      </x:c>
      <x:c r="B11" s="51" t="str">
        <x:v>ML</x:v>
      </x:c>
      <x:c r="C11" s="51" t="str">
        <x:v>Train Logistic Regression and Random Forest separately</x:v>
      </x:c>
      <x:c r="D11" s="52" t="n">
        <x:v>46223</x:v>
      </x:c>
      <x:c r="E11" s="52" t="n">
        <x:v>46237</x:v>
      </x:c>
      <x:c r="F11" s="53" t="n">
        <x:f>E11-D11+1</x:f>
        <x:v>15</x:v>
      </x:c>
      <x:c r="G11" s="51" t="str">
        <x:v>Complete</x:v>
      </x:c>
      <x:c r="H11" s="54" t="n">
        <x:v>1</x:v>
      </x:c>
      <x:c r="I11" s="51" t="str">
        <x:v>Student</x:v>
      </x:c>
      <x:c r="J11" s="51" t="str">
        <x:v>7</x:v>
      </x:c>
      <x:c r="K11" s="51" t="str">
        <x:v>Separate LR and RF models/results</x:v>
      </x:c>
      <x:c r="L11" s="51" t="str">
        <x:v>Estimate</x:v>
      </x:c>
      <x:c r="M11" s="51" t="str">
        <x:v>Examiner requirement met.</x:v>
      </x:c>
    </x:row>
    <x:row r="12" ht="40" customHeight="1">
      <x:c r="A12" s="51" t="n">
        <x:v>9</x:v>
      </x:c>
      <x:c r="B12" s="51" t="str">
        <x:v>ML</x:v>
      </x:c>
      <x:c r="C12" s="51" t="str">
        <x:v>Tune validation thresholds, compare baselines and select LR</x:v>
      </x:c>
      <x:c r="D12" s="52" t="n">
        <x:v>46235</x:v>
      </x:c>
      <x:c r="E12" s="52" t="n">
        <x:v>46241</x:v>
      </x:c>
      <x:c r="F12" s="53" t="n">
        <x:f>E12-D12+1</x:f>
        <x:v>7</x:v>
      </x:c>
      <x:c r="G12" s="51" t="str">
        <x:v>Complete</x:v>
      </x:c>
      <x:c r="H12" s="54" t="n">
        <x:v>1</x:v>
      </x:c>
      <x:c r="I12" s="51" t="str">
        <x:v>Student</x:v>
      </x:c>
      <x:c r="J12" s="51" t="str">
        <x:v>8</x:v>
      </x:c>
      <x:c r="K12" s="51" t="str">
        <x:v>Model comparison and selection evidence</x:v>
      </x:c>
      <x:c r="L12" s="51" t="str">
        <x:v>Confirmed</x:v>
      </x:c>
      <x:c r="M12" s="51" t="str">
        <x:v>LR selected for validation performance and explainability.</x:v>
      </x:c>
    </x:row>
    <x:row r="13" ht="40" customHeight="1">
      <x:c r="A13" s="51" t="n">
        <x:v>10</x:v>
      </x:c>
      <x:c r="B13" s="51" t="str">
        <x:v>Product</x:v>
      </x:c>
      <x:c r="C13" s="51" t="str">
        <x:v>Build Streamlit advisor, explanation and evaluation pages</x:v>
      </x:c>
      <x:c r="D13" s="52" t="n">
        <x:v>46230</x:v>
      </x:c>
      <x:c r="E13" s="52" t="n">
        <x:v>46244</x:v>
      </x:c>
      <x:c r="F13" s="53" t="n">
        <x:f>E13-D13+1</x:f>
        <x:v>15</x:v>
      </x:c>
      <x:c r="G13" s="51" t="str">
        <x:v>Complete</x:v>
      </x:c>
      <x:c r="H13" s="54" t="n">
        <x:v>1</x:v>
      </x:c>
      <x:c r="I13" s="51" t="str">
        <x:v>Student</x:v>
      </x:c>
      <x:c r="J13" s="51" t="str">
        <x:v>8</x:v>
      </x:c>
      <x:c r="K13" s="51" t="str">
        <x:v>Non-technical web interface</x:v>
      </x:c>
      <x:c r="L13" s="51" t="str">
        <x:v>Estimate</x:v>
      </x:c>
      <x:c r="M13" s="51" t="str">
        <x:v>ML Advisor performance was subsequently optimised.</x:v>
      </x:c>
    </x:row>
    <x:row r="14" ht="40" customHeight="1">
      <x:c r="A14" s="51" t="n">
        <x:v>11</x:v>
      </x:c>
      <x:c r="B14" s="51" t="str">
        <x:v>Integration</x:v>
      </x:c>
      <x:c r="C14" s="51" t="str">
        <x:v>Implement MT5 CSV bridge, M5 exporter and risk controls</x:v>
      </x:c>
      <x:c r="D14" s="52" t="n">
        <x:v>46241</x:v>
      </x:c>
      <x:c r="E14" s="52" t="n">
        <x:v>46251</x:v>
      </x:c>
      <x:c r="F14" s="53" t="n">
        <x:f>E14-D14+1</x:f>
        <x:v>11</x:v>
      </x:c>
      <x:c r="G14" s="51" t="str">
        <x:v>Complete</x:v>
      </x:c>
      <x:c r="H14" s="54" t="n">
        <x:v>1</x:v>
      </x:c>
      <x:c r="I14" s="51" t="str">
        <x:v>Student</x:v>
      </x:c>
      <x:c r="J14" s="51" t="str">
        <x:v>9,10</x:v>
      </x:c>
      <x:c r="K14" s="51" t="str">
        <x:v>Compiled EAs and desktop/mobile alerts</x:v>
      </x:c>
      <x:c r="L14" s="51" t="str">
        <x:v>Confirmed</x:v>
      </x:c>
      <x:c r="M14" s="51" t="str">
        <x:v>Includes stale-signal, news and WATCH_ONLY controls.</x:v>
      </x:c>
    </x:row>
    <x:row r="15" ht="40" customHeight="1">
      <x:c r="A15" s="51" t="n">
        <x:v>12</x:v>
      </x:c>
      <x:c r="B15" s="51" t="str">
        <x:v>Evaluation</x:v>
      </x:c>
      <x:c r="C15" s="51" t="str">
        <x:v>Run automated, replay, robustness and cost-sensitivity tests</x:v>
      </x:c>
      <x:c r="D15" s="52" t="n">
        <x:v>46244</x:v>
      </x:c>
      <x:c r="E15" s="52" t="n">
        <x:v>46251</x:v>
      </x:c>
      <x:c r="F15" s="53" t="n">
        <x:f>E15-D15+1</x:f>
        <x:v>8</x:v>
      </x:c>
      <x:c r="G15" s="51" t="str">
        <x:v>Complete</x:v>
      </x:c>
      <x:c r="H15" s="54" t="n">
        <x:v>1</x:v>
      </x:c>
      <x:c r="I15" s="51" t="str">
        <x:v>Student</x:v>
      </x:c>
      <x:c r="J15" s="51" t="str">
        <x:v>9,11</x:v>
      </x:c>
      <x:c r="K15" s="51" t="str">
        <x:v>Test logs and evaluation evidence</x:v>
      </x:c>
      <x:c r="L15" s="51" t="str">
        <x:v>Confirmed</x:v>
      </x:c>
      <x:c r="M15" s="51" t="str">
        <x:v>Negative walk-forward evidence retained honestly.</x:v>
      </x:c>
    </x:row>
    <x:row r="16" ht="40" customHeight="1">
      <x:c r="A16" s="51" t="n">
        <x:v>13</x:v>
      </x:c>
      <x:c r="B16" s="51" t="str">
        <x:v>User study</x:v>
      </x:c>
      <x:c r="C16" s="51" t="str">
        <x:v>Prepare participant information, signed consent and questionnaire</x:v>
      </x:c>
      <x:c r="D16" s="52" t="n">
        <x:v>46251</x:v>
      </x:c>
      <x:c r="E16" s="52" t="n">
        <x:v>46251</x:v>
      </x:c>
      <x:c r="F16" s="53" t="n">
        <x:f>E16-D16+1</x:f>
        <x:v>1</x:v>
      </x:c>
      <x:c r="G16" s="51" t="str">
        <x:v>Complete</x:v>
      </x:c>
      <x:c r="H16" s="54" t="n">
        <x:v>1</x:v>
      </x:c>
      <x:c r="I16" s="51" t="str">
        <x:v>Student</x:v>
      </x:c>
      <x:c r="J16" s="51" t="str">
        <x:v>10,12</x:v>
      </x:c>
      <x:c r="K16" s="51" t="str">
        <x:v>Two verified DOCX study instruments</x:v>
      </x:c>
      <x:c r="L16" s="51" t="str">
        <x:v>Confirmed</x:v>
      </x:c>
      <x:c r="M16" s="51" t="str">
        <x:v>No participant data fabricated.</x:v>
      </x:c>
    </x:row>
    <x:row r="17" ht="40" customHeight="1">
      <x:c r="A17" s="51" t="n">
        <x:v>14</x:v>
      </x:c>
      <x:c r="B17" s="51" t="str">
        <x:v>Management</x:v>
      </x:c>
      <x:c r="C17" s="51" t="str">
        <x:v>Create analysis workbook, full workplan and Gantt evidence</x:v>
      </x:c>
      <x:c r="D17" s="52" t="n">
        <x:v>46251</x:v>
      </x:c>
      <x:c r="E17" s="52" t="n">
        <x:v>46253</x:v>
      </x:c>
      <x:c r="F17" s="53" t="n">
        <x:f>E17-D17+1</x:f>
        <x:v>3</x:v>
      </x:c>
      <x:c r="G17" s="51" t="str">
        <x:v>Complete</x:v>
      </x:c>
      <x:c r="H17" s="54" t="n">
        <x:v>1</x:v>
      </x:c>
      <x:c r="I17" s="51" t="str">
        <x:v>Student</x:v>
      </x:c>
      <x:c r="J17" s="51" t="str">
        <x:v>13</x:v>
      </x:c>
      <x:c r="K17" s="51" t="str">
        <x:v>Analysis and planning workbooks</x:v>
      </x:c>
      <x:c r="L17" s="51" t="str">
        <x:v>Confirmed</x:v>
      </x:c>
      <x:c r="M17" s="51" t="str">
        <x:v>Analysis and planning workbooks verified.</x:v>
      </x:c>
    </x:row>
    <x:row r="18" ht="40" customHeight="1">
      <x:c r="A18" s="51" t="n">
        <x:v>15</x:v>
      </x:c>
      <x:c r="B18" s="51" t="str">
        <x:v>User study</x:v>
      </x:c>
      <x:c r="C18" s="51" t="str">
        <x:v>Recruit and run 10–15 genuine target-user sessions</x:v>
      </x:c>
      <x:c r="D18" s="52" t="n">
        <x:v>46254</x:v>
      </x:c>
      <x:c r="E18" s="52" t="n">
        <x:v>46268</x:v>
      </x:c>
      <x:c r="F18" s="53" t="n">
        <x:f>E18-D18+1</x:f>
        <x:v>15</x:v>
      </x:c>
      <x:c r="G18" s="51" t="str">
        <x:v>Not started</x:v>
      </x:c>
      <x:c r="H18" s="54" t="n">
        <x:v>0</x:v>
      </x:c>
      <x:c r="I18" s="51" t="str">
        <x:v>Student</x:v>
      </x:c>
      <x:c r="J18" s="51" t="str">
        <x:v>13,14</x:v>
      </x:c>
      <x:c r="K18" s="51" t="str">
        <x:v>Signed forms and coded questionnaires</x:v>
      </x:c>
      <x:c r="L18" s="51" t="str">
        <x:v>Planned</x:v>
      </x:c>
      <x:c r="M18" s="51" t="str">
        <x:v>Prioritise novice/interested traders and relevant students.</x:v>
      </x:c>
    </x:row>
    <x:row r="19" ht="40" customHeight="1">
      <x:c r="A19" s="51" t="n">
        <x:v>16</x:v>
      </x:c>
      <x:c r="B19" s="51" t="str">
        <x:v>User study</x:v>
      </x:c>
      <x:c r="C19" s="51" t="str">
        <x:v>Analyse responses and implement justified usability improvements</x:v>
      </x:c>
      <x:c r="D19" s="52" t="n">
        <x:v>46269</x:v>
      </x:c>
      <x:c r="E19" s="52" t="n">
        <x:v>46273</x:v>
      </x:c>
      <x:c r="F19" s="53" t="n">
        <x:f>E19-D19+1</x:f>
        <x:v>5</x:v>
      </x:c>
      <x:c r="G19" s="51" t="str">
        <x:v>Not started</x:v>
      </x:c>
      <x:c r="H19" s="54" t="n">
        <x:v>0</x:v>
      </x:c>
      <x:c r="I19" s="51" t="str">
        <x:v>Student</x:v>
      </x:c>
      <x:c r="J19" s="51" t="str">
        <x:v>15</x:v>
      </x:c>
      <x:c r="K19" s="51" t="str">
        <x:v>Survey tables, charts and change log</x:v>
      </x:c>
      <x:c r="L19" s="51" t="str">
        <x:v>Planned</x:v>
      </x:c>
      <x:c r="M19" s="51" t="str">
        <x:v>Use aggregate data and anonymised comments.</x:v>
      </x:c>
    </x:row>
    <x:row r="20" ht="40" customHeight="1">
      <x:c r="A20" s="51" t="n">
        <x:v>17</x:v>
      </x:c>
      <x:c r="B20" s="51" t="str">
        <x:v>Research</x:v>
      </x:c>
      <x:c r="C20" s="51" t="str">
        <x:v>Strengthen literature comparison and complete citations for facts/visuals</x:v>
      </x:c>
      <x:c r="D20" s="52" t="n">
        <x:v>46254</x:v>
      </x:c>
      <x:c r="E20" s="52" t="n">
        <x:v>46273</x:v>
      </x:c>
      <x:c r="F20" s="53" t="n">
        <x:f>E20-D20+1</x:f>
        <x:v>20</x:v>
      </x:c>
      <x:c r="G20" s="51" t="str">
        <x:v>Not started</x:v>
      </x:c>
      <x:c r="H20" s="54" t="n">
        <x:v>0</x:v>
      </x:c>
      <x:c r="I20" s="51" t="str">
        <x:v>Student</x:v>
      </x:c>
      <x:c r="J20" s="51" t="str">
        <x:v>4,12</x:v>
      </x:c>
      <x:c r="K20" s="51" t="str">
        <x:v>Revised critical literature review</x:v>
      </x:c>
      <x:c r="L20" s="51" t="str">
        <x:v>Planned</x:v>
      </x:c>
      <x:c r="M20" s="51" t="str">
        <x:v>Compare related systems, ML/XAI and VSA evidence.</x:v>
      </x:c>
    </x:row>
    <x:row r="21" ht="40" customHeight="1">
      <x:c r="A21" s="51" t="n">
        <x:v>18</x:v>
      </x:c>
      <x:c r="B21" s="51" t="str">
        <x:v>Report</x:v>
      </x:c>
      <x:c r="C21" s="51" t="str">
        <x:v>Rewrite methodology, design and implementation chapters</x:v>
      </x:c>
      <x:c r="D21" s="52" t="n">
        <x:v>46266</x:v>
      </x:c>
      <x:c r="E21" s="52" t="n">
        <x:v>46277</x:v>
      </x:c>
      <x:c r="F21" s="53" t="n">
        <x:f>E21-D21+1</x:f>
        <x:v>12</x:v>
      </x:c>
      <x:c r="G21" s="51" t="str">
        <x:v>Not started</x:v>
      </x:c>
      <x:c r="H21" s="54" t="n">
        <x:v>0</x:v>
      </x:c>
      <x:c r="I21" s="51" t="str">
        <x:v>Student</x:v>
      </x:c>
      <x:c r="J21" s="51" t="str">
        <x:v>12,17</x:v>
      </x:c>
      <x:c r="K21" s="51" t="str">
        <x:v>Traceable methods/design chapters</x:v>
      </x:c>
      <x:c r="L21" s="51" t="str">
        <x:v>Planned</x:v>
      </x:c>
      <x:c r="M21" s="51" t="str">
        <x:v>Include feature table, pseudocode and consistent thresholds.</x:v>
      </x:c>
    </x:row>
    <x:row r="22" ht="40" customHeight="1">
      <x:c r="A22" s="51" t="n">
        <x:v>19</x:v>
      </x:c>
      <x:c r="B22" s="51" t="str">
        <x:v>Report</x:v>
      </x:c>
      <x:c r="C22" s="51" t="str">
        <x:v>Write results, evaluation, limitations and future work</x:v>
      </x:c>
      <x:c r="D22" s="52" t="n">
        <x:v>46274</x:v>
      </x:c>
      <x:c r="E22" s="52" t="n">
        <x:v>46282</x:v>
      </x:c>
      <x:c r="F22" s="53" t="n">
        <x:f>E22-D22+1</x:f>
        <x:v>9</x:v>
      </x:c>
      <x:c r="G22" s="51" t="str">
        <x:v>Not started</x:v>
      </x:c>
      <x:c r="H22" s="54" t="n">
        <x:v>0</x:v>
      </x:c>
      <x:c r="I22" s="51" t="str">
        <x:v>Student</x:v>
      </x:c>
      <x:c r="J22" s="51" t="str">
        <x:v>16,18</x:v>
      </x:c>
      <x:c r="K22" s="51" t="str">
        <x:v>Evidence-led evaluation chapter</x:v>
      </x:c>
      <x:c r="L22" s="51" t="str">
        <x:v>Planned</x:v>
      </x:c>
      <x:c r="M22" s="51" t="str">
        <x:v>Separate test, robustness and user-study conclusions.</x:v>
      </x:c>
    </x:row>
    <x:row r="23" ht="40" customHeight="1">
      <x:c r="A23" s="51" t="n">
        <x:v>20</x:v>
      </x:c>
      <x:c r="B23" s="51" t="str">
        <x:v>Evidence</x:v>
      </x:c>
      <x:c r="C23" s="51" t="str">
        <x:v>Capture final website, LR/RF, testing and MT5 screenshots</x:v>
      </x:c>
      <x:c r="D23" s="52" t="n">
        <x:v>46279</x:v>
      </x:c>
      <x:c r="E23" s="52" t="n">
        <x:v>46283</x:v>
      </x:c>
      <x:c r="F23" s="53" t="n">
        <x:f>E23-D23+1</x:f>
        <x:v>5</x:v>
      </x:c>
      <x:c r="G23" s="51" t="str">
        <x:v>Not started</x:v>
      </x:c>
      <x:c r="H23" s="54" t="n">
        <x:v>0</x:v>
      </x:c>
      <x:c r="I23" s="51" t="str">
        <x:v>Student</x:v>
      </x:c>
      <x:c r="J23" s="51" t="str">
        <x:v>16,19</x:v>
      </x:c>
      <x:c r="K23" s="51" t="str">
        <x:v>Numbered evidence appendix</x:v>
      </x:c>
      <x:c r="L23" s="51" t="str">
        <x:v>Planned</x:v>
      </x:c>
      <x:c r="M23" s="51" t="str">
        <x:v>Every visual requires a caption and source.</x:v>
      </x:c>
    </x:row>
    <x:row r="24" ht="40" customHeight="1">
      <x:c r="A24" s="51" t="n">
        <x:v>21</x:v>
      </x:c>
      <x:c r="B24" s="51" t="str">
        <x:v>Demonstration</x:v>
      </x:c>
      <x:c r="C24" s="51" t="str">
        <x:v>Script, record and edit the required 3–5 minute MP4</x:v>
      </x:c>
      <x:c r="D24" s="52" t="n">
        <x:v>46281</x:v>
      </x:c>
      <x:c r="E24" s="52" t="n">
        <x:v>46286</x:v>
      </x:c>
      <x:c r="F24" s="53" t="n">
        <x:f>E24-D24+1</x:f>
        <x:v>6</x:v>
      </x:c>
      <x:c r="G24" s="51" t="str">
        <x:v>Not started</x:v>
      </x:c>
      <x:c r="H24" s="54" t="n">
        <x:v>0</x:v>
      </x:c>
      <x:c r="I24" s="51" t="str">
        <x:v>Student</x:v>
      </x:c>
      <x:c r="J24" s="51" t="str">
        <x:v>19,20</x:v>
      </x:c>
      <x:c r="K24" s="51" t="str">
        <x:v>Compliant MP4 demonstration</x:v>
      </x:c>
      <x:c r="L24" s="51" t="str">
        <x:v>Planned</x:v>
      </x:c>
      <x:c r="M24" s="51" t="str">
        <x:v>Show VSA→LR→CSV→MT5 and safety controls.</x:v>
      </x:c>
    </x:row>
    <x:row r="25" ht="40" customHeight="1">
      <x:c r="A25" s="51" t="n">
        <x:v>22</x:v>
      </x:c>
      <x:c r="B25" s="51" t="str">
        <x:v>Quality</x:v>
      </x:c>
      <x:c r="C25" s="51" t="str">
        <x:v>Run report QA: references, word count, coherence and rubric mapping</x:v>
      </x:c>
      <x:c r="D25" s="52" t="n">
        <x:v>46284</x:v>
      </x:c>
      <x:c r="E25" s="52" t="n">
        <x:v>46288</x:v>
      </x:c>
      <x:c r="F25" s="53" t="n">
        <x:f>E25-D25+1</x:f>
        <x:v>5</x:v>
      </x:c>
      <x:c r="G25" s="51" t="str">
        <x:v>Not started</x:v>
      </x:c>
      <x:c r="H25" s="54" t="n">
        <x:v>0</x:v>
      </x:c>
      <x:c r="I25" s="51" t="str">
        <x:v>Student</x:v>
      </x:c>
      <x:c r="J25" s="51" t="str">
        <x:v>19,20,21</x:v>
      </x:c>
      <x:c r="K25" s="51" t="str">
        <x:v>Submission-quality report</x:v>
      </x:c>
      <x:c r="L25" s="51" t="str">
        <x:v>Planned</x:v>
      </x:c>
      <x:c r="M25" s="51" t="str">
        <x:v>Check every examiner point explicitly.</x:v>
      </x:c>
    </x:row>
    <x:row r="26" ht="40" customHeight="1">
      <x:c r="A26" s="51" t="n">
        <x:v>23</x:v>
      </x:c>
      <x:c r="B26" s="51" t="str">
        <x:v>Quality</x:v>
      </x:c>
      <x:c r="C26" s="51" t="str">
        <x:v>Apply final supervisor/teacher feedback</x:v>
      </x:c>
      <x:c r="D26" s="52" t="n">
        <x:v>46289</x:v>
      </x:c>
      <x:c r="E26" s="52" t="n">
        <x:v>46290</x:v>
      </x:c>
      <x:c r="F26" s="53" t="n">
        <x:f>E26-D26+1</x:f>
        <x:v>2</x:v>
      </x:c>
      <x:c r="G26" s="51" t="str">
        <x:v>Not started</x:v>
      </x:c>
      <x:c r="H26" s="54" t="n">
        <x:v>0</x:v>
      </x:c>
      <x:c r="I26" s="51" t="str">
        <x:v>Student</x:v>
      </x:c>
      <x:c r="J26" s="51" t="str">
        <x:v>22</x:v>
      </x:c>
      <x:c r="K26" s="51" t="str">
        <x:v>Approved corrections</x:v>
      </x:c>
      <x:c r="L26" s="51" t="str">
        <x:v>Planned</x:v>
      </x:c>
      <x:c r="M26" s="51" t="str">
        <x:v>Keep a two-day bounded correction window.</x:v>
      </x:c>
    </x:row>
    <x:row r="27" ht="40" customHeight="1">
      <x:c r="A27" s="51" t="n">
        <x:v>24</x:v>
      </x:c>
      <x:c r="B27" s="51" t="str">
        <x:v>Submission</x:v>
      </x:c>
      <x:c r="C27" s="51" t="str">
        <x:v>Package report, MP4, workplan, code and backups</x:v>
      </x:c>
      <x:c r="D27" s="52" t="n">
        <x:v>46291</x:v>
      </x:c>
      <x:c r="E27" s="52" t="n">
        <x:v>46292</x:v>
      </x:c>
      <x:c r="F27" s="53" t="n">
        <x:f>E27-D27+1</x:f>
        <x:v>2</x:v>
      </x:c>
      <x:c r="G27" s="51" t="str">
        <x:v>Not started</x:v>
      </x:c>
      <x:c r="H27" s="54" t="n">
        <x:v>0</x:v>
      </x:c>
      <x:c r="I27" s="51" t="str">
        <x:v>Student</x:v>
      </x:c>
      <x:c r="J27" s="51" t="str">
        <x:v>23</x:v>
      </x:c>
      <x:c r="K27" s="51" t="str">
        <x:v>Validated submission package</x:v>
      </x:c>
      <x:c r="L27" s="51" t="str">
        <x:v>Planned</x:v>
      </x:c>
      <x:c r="M27" s="51" t="str">
        <x:v>Open every file from the final package before upload.</x:v>
      </x:c>
    </x:row>
    <x:row r="28" ht="40" customHeight="1">
      <x:c r="A28" s="55" t="n">
        <x:v>25</x:v>
      </x:c>
      <x:c r="B28" s="55" t="str">
        <x:v>Submission</x:v>
      </x:c>
      <x:c r="C28" s="55" t="str">
        <x:v>Submit final project</x:v>
      </x:c>
      <x:c r="D28" s="56" t="n">
        <x:v>46293</x:v>
      </x:c>
      <x:c r="E28" s="56" t="n">
        <x:v>46293</x:v>
      </x:c>
      <x:c r="F28" s="57" t="n">
        <x:f>E28-D28+1</x:f>
        <x:v>1</x:v>
      </x:c>
      <x:c r="G28" s="55" t="str">
        <x:v>Not started</x:v>
      </x:c>
      <x:c r="H28" s="58" t="n">
        <x:v>0</x:v>
      </x:c>
      <x:c r="I28" s="55" t="str">
        <x:v>Student</x:v>
      </x:c>
      <x:c r="J28" s="55" t="str">
        <x:v>24</x:v>
      </x:c>
      <x:c r="K28" s="55" t="str">
        <x:v>Final submission receipt</x:v>
      </x:c>
      <x:c r="L28" s="55" t="str">
        <x:v>Fixed</x:v>
      </x:c>
      <x:c r="M28" s="55" t="str">
        <x:v>28 September 2026 deadline.</x:v>
      </x:c>
    </x:row>
  </x:sheetData>
  <x:mergeCells>
    <x:mergeCell ref="A1:M1"/>
    <x:mergeCell ref="A2:M2"/>
  </x:mergeCells>
  <x:conditionalFormatting sqref="G4:G28">
    <x:cfRule type="containsText" dxfId="0" priority="1" operator="containsText" text="Complete"/>
    <x:cfRule type="containsText" dxfId="1" priority="2" operator="containsText" text="In progress"/>
    <x:cfRule type="containsText" dxfId="2" priority="3" operator="containsText" text="Not started"/>
  </x:conditionalFormatting>
  <x:conditionalFormatting sqref="H4:H28">
    <x:cfRule type="dataBar" priority="4">
      <x:dataBar>
        <x:cfvo type="min"/>
        <x:cfvo type="max"/>
        <x:color rgb="FF2E75B6"/>
      </x:dataBar>
      <x:extLst>
        <x:ext xmlns:x14="http://schemas.microsoft.com/office/spreadsheetml/2009/9/main" uri="{B025F937-C7B1-47D3-B67F-A62EFF666E3E}">
          <x14:id>{4A1A20D4-D832-1781-F368-48E6A347038C}</x14:id>
        </x:ext>
      </x:extLst>
    </x:cfRule>
  </x:conditionalFormatting>
  <x:dataValidations count="3">
    <x:dataValidation type="list" sqref="G4:G28">
      <x:formula1>"Complete,In progress,Not started"</x:formula1>
    </x:dataValidation>
    <x:dataValidation type="decimal" operator="between" sqref="H4:H28">
      <x:formula1>0</x:formula1>
      <x:formula2>1</x:formula2>
    </x:dataValidation>
    <x:dataValidation type="list" sqref="L4:L28">
      <x:formula1>"Estimate,Confirmed,Planned,Fixed"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a14a77a0064aa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4A1A20D4-D832-1781-F368-48E6A347038C}">
            <x14:dataBar gradient="1">
              <x14:cfvo type="min"/>
              <x14:cfvo type="max"/>
              <x14:fillColor rgb="FF2E75B6"/>
            </x14:dataBar>
          </x14:cfRule>
          <xm:sqref>H4:H28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1" hidden="0" customWidth="1"/>
    <x:col min="3" max="3" width="12" hidden="0" customWidth="1"/>
    <x:col min="4" max="4" width="12" hidden="0" customWidth="1"/>
    <x:col min="5" max="5" width="15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</x:cols>
  <x:sheetData>
    <x:row r="1" ht="34" customHeight="1">
      <x:c r="A1" s="4" t="str">
        <x:v>Weekly Gantt Chart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</x:row>
    <x:row r="2" ht="28" customHeight="1">
      <x:c r="A2" s="8" t="str">
        <x:v>Project period: May–September 2026. Green = complete, amber = in progress, blue = planned; submission is fixed on 28 September.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</x:row>
    <x:row r="3" ht="23" customHeight="1">
      <x:c r="A3" s="61" t="str">
        <x:v>Project timeline: May to September 2026</x:v>
      </x:c>
      <x:c r="B3" s="61"/>
      <x:c r="C3" s="61"/>
      <x:c r="D3" s="61"/>
      <x:c r="E3" s="61"/>
      <x:c r="F3" s="61" t="str">
        <x:v>May 2026</x:v>
      </x:c>
      <x:c r="G3" s="61"/>
      <x:c r="H3" s="61"/>
      <x:c r="I3" s="61"/>
      <x:c r="J3" s="61" t="str">
        <x:v>June 2026</x:v>
      </x:c>
      <x:c r="K3" s="61"/>
      <x:c r="L3" s="61"/>
      <x:c r="M3" s="61"/>
      <x:c r="N3" s="61"/>
      <x:c r="O3" s="61" t="str">
        <x:v>July 2026</x:v>
      </x:c>
      <x:c r="P3" s="61"/>
      <x:c r="Q3" s="61"/>
      <x:c r="R3" s="61"/>
      <x:c r="S3" s="61" t="str">
        <x:v>August 2026</x:v>
      </x:c>
      <x:c r="T3" s="61"/>
      <x:c r="U3" s="61"/>
      <x:c r="V3" s="61"/>
      <x:c r="W3" s="61"/>
      <x:c r="X3" s="61" t="str">
        <x:v>September 2026</x:v>
      </x:c>
      <x:c r="Y3" s="61"/>
      <x:c r="Z3" s="61"/>
      <x:c r="AA3" s="61"/>
    </x:row>
    <x:row r="4">
      <x:c r="A4" s="37" t="str">
        <x:v>Phase</x:v>
      </x:c>
      <x:c r="B4" s="37" t="str">
        <x:v>Task</x:v>
      </x:c>
      <x:c r="C4" s="37" t="str">
        <x:v>Start</x:v>
      </x:c>
      <x:c r="D4" s="37" t="str">
        <x:v>End</x:v>
      </x:c>
      <x:c r="E4" s="37" t="str">
        <x:v>Status</x:v>
      </x:c>
      <x:c r="F4" s="62" t="n">
        <x:v>46146</x:v>
      </x:c>
      <x:c r="G4" s="62" t="n">
        <x:v>46153</x:v>
      </x:c>
      <x:c r="H4" s="62" t="n">
        <x:v>46160</x:v>
      </x:c>
      <x:c r="I4" s="62" t="n">
        <x:v>46167</x:v>
      </x:c>
      <x:c r="J4" s="62" t="n">
        <x:v>46174</x:v>
      </x:c>
      <x:c r="K4" s="62" t="n">
        <x:v>46181</x:v>
      </x:c>
      <x:c r="L4" s="62" t="n">
        <x:v>46188</x:v>
      </x:c>
      <x:c r="M4" s="62" t="n">
        <x:v>46195</x:v>
      </x:c>
      <x:c r="N4" s="62" t="n">
        <x:v>46202</x:v>
      </x:c>
      <x:c r="O4" s="62" t="n">
        <x:v>46209</x:v>
      </x:c>
      <x:c r="P4" s="62" t="n">
        <x:v>46216</x:v>
      </x:c>
      <x:c r="Q4" s="62" t="n">
        <x:v>46223</x:v>
      </x:c>
      <x:c r="R4" s="62" t="n">
        <x:v>46230</x:v>
      </x:c>
      <x:c r="S4" s="62" t="n">
        <x:v>46237</x:v>
      </x:c>
      <x:c r="T4" s="62" t="n">
        <x:v>46244</x:v>
      </x:c>
      <x:c r="U4" s="62" t="n">
        <x:v>46251</x:v>
      </x:c>
      <x:c r="V4" s="62" t="n">
        <x:v>46258</x:v>
      </x:c>
      <x:c r="W4" s="62" t="n">
        <x:v>46265</x:v>
      </x:c>
      <x:c r="X4" s="62" t="n">
        <x:v>46272</x:v>
      </x:c>
      <x:c r="Y4" s="62" t="n">
        <x:v>46279</x:v>
      </x:c>
      <x:c r="Z4" s="62" t="n">
        <x:v>46286</x:v>
      </x:c>
      <x:c r="AA4" s="62" t="n">
        <x:v>46293</x:v>
      </x:c>
    </x:row>
    <x:row r="5" ht="31" customHeight="1">
      <x:c r="A5" s="47" t="str">
        <x:f>'Workplan'!B4</x:f>
        <x:v>Foundation</x:v>
      </x:c>
      <x:c r="B5" s="47" t="str">
        <x:f>'Workplan'!C4</x:f>
        <x:v>Select Template 4.2 and define the financial-advisor concept</x:v>
      </x:c>
      <x:c r="C5" s="69" t="n">
        <x:f>'Workplan'!D4</x:f>
        <x:v>46146</x:v>
      </x:c>
      <x:c r="D5" s="69" t="n">
        <x:f>'Workplan'!E4</x:f>
        <x:v>46157</x:v>
      </x:c>
      <x:c r="E5" s="47" t="str">
        <x:f>'Workplan'!G4</x:f>
        <x:v>Complete</x:v>
      </x:c>
      <x:c r="F5" s="70" t="n">
        <x:f>IF(AND(F$4&lt;=$D5,F$4+6&gt;=$C5),IF($E5="Complete",3,IF($E5="In progress",2,1)),"")</x:f>
        <x:v>3</x:v>
      </x:c>
      <x:c r="G5" s="70" t="n">
        <x:f>IF(AND(G$4&lt;=$D5,G$4+6&gt;=$C5),IF($E5="Complete",3,IF($E5="In progress",2,1)),"")</x:f>
        <x:v>3</x:v>
      </x:c>
      <x:c r="H5" s="70" t="str">
        <x:f>IF(AND(H$4&lt;=$D5,H$4+6&gt;=$C5),IF($E5="Complete",3,IF($E5="In progress",2,1)),"")</x:f>
      </x:c>
      <x:c r="I5" s="70" t="str">
        <x:f>IF(AND(I$4&lt;=$D5,I$4+6&gt;=$C5),IF($E5="Complete",3,IF($E5="In progress",2,1)),"")</x:f>
      </x:c>
      <x:c r="J5" s="70" t="str">
        <x:f>IF(AND(J$4&lt;=$D5,J$4+6&gt;=$C5),IF($E5="Complete",3,IF($E5="In progress",2,1)),"")</x:f>
      </x:c>
      <x:c r="K5" s="70" t="str">
        <x:f>IF(AND(K$4&lt;=$D5,K$4+6&gt;=$C5),IF($E5="Complete",3,IF($E5="In progress",2,1)),"")</x:f>
      </x:c>
      <x:c r="L5" s="70" t="str">
        <x:f>IF(AND(L$4&lt;=$D5,L$4+6&gt;=$C5),IF($E5="Complete",3,IF($E5="In progress",2,1)),"")</x:f>
      </x:c>
      <x:c r="M5" s="70" t="str">
        <x:f>IF(AND(M$4&lt;=$D5,M$4+6&gt;=$C5),IF($E5="Complete",3,IF($E5="In progress",2,1)),"")</x:f>
      </x:c>
      <x:c r="N5" s="70" t="str">
        <x:f>IF(AND(N$4&lt;=$D5,N$4+6&gt;=$C5),IF($E5="Complete",3,IF($E5="In progress",2,1)),"")</x:f>
      </x:c>
      <x:c r="O5" s="70" t="str">
        <x:f>IF(AND(O$4&lt;=$D5,O$4+6&gt;=$C5),IF($E5="Complete",3,IF($E5="In progress",2,1)),"")</x:f>
      </x:c>
      <x:c r="P5" s="70" t="str">
        <x:f>IF(AND(P$4&lt;=$D5,P$4+6&gt;=$C5),IF($E5="Complete",3,IF($E5="In progress",2,1)),"")</x:f>
      </x:c>
      <x:c r="Q5" s="70" t="str">
        <x:f>IF(AND(Q$4&lt;=$D5,Q$4+6&gt;=$C5),IF($E5="Complete",3,IF($E5="In progress",2,1)),"")</x:f>
      </x:c>
      <x:c r="R5" s="70" t="str">
        <x:f>IF(AND(R$4&lt;=$D5,R$4+6&gt;=$C5),IF($E5="Complete",3,IF($E5="In progress",2,1)),"")</x:f>
      </x:c>
      <x:c r="S5" s="70" t="str">
        <x:f>IF(AND(S$4&lt;=$D5,S$4+6&gt;=$C5),IF($E5="Complete",3,IF($E5="In progress",2,1)),"")</x:f>
      </x:c>
      <x:c r="T5" s="70" t="str">
        <x:f>IF(AND(T$4&lt;=$D5,T$4+6&gt;=$C5),IF($E5="Complete",3,IF($E5="In progress",2,1)),"")</x:f>
      </x:c>
      <x:c r="U5" s="70" t="str">
        <x:f>IF(AND(U$4&lt;=$D5,U$4+6&gt;=$C5),IF($E5="Complete",3,IF($E5="In progress",2,1)),"")</x:f>
      </x:c>
      <x:c r="V5" s="70" t="str">
        <x:f>IF(AND(V$4&lt;=$D5,V$4+6&gt;=$C5),IF($E5="Complete",3,IF($E5="In progress",2,1)),"")</x:f>
      </x:c>
      <x:c r="W5" s="70" t="str">
        <x:f>IF(AND(W$4&lt;=$D5,W$4+6&gt;=$C5),IF($E5="Complete",3,IF($E5="In progress",2,1)),"")</x:f>
      </x:c>
      <x:c r="X5" s="70" t="str">
        <x:f>IF(AND(X$4&lt;=$D5,X$4+6&gt;=$C5),IF($E5="Complete",3,IF($E5="In progress",2,1)),"")</x:f>
      </x:c>
      <x:c r="Y5" s="70" t="str">
        <x:f>IF(AND(Y$4&lt;=$D5,Y$4+6&gt;=$C5),IF($E5="Complete",3,IF($E5="In progress",2,1)),"")</x:f>
      </x:c>
      <x:c r="Z5" s="70" t="str">
        <x:f>IF(AND(Z$4&lt;=$D5,Z$4+6&gt;=$C5),IF($E5="Complete",3,IF($E5="In progress",2,1)),"")</x:f>
      </x:c>
      <x:c r="AA5" s="70" t="str">
        <x:f>IF(AND(AA$4&lt;=$D5,AA$4+6&gt;=$C5),IF($E5="Complete",3,IF($E5="In progress",2,1)),"")</x:f>
      </x:c>
    </x:row>
    <x:row r="6" ht="31" customHeight="1">
      <x:c r="A6" s="51" t="str">
        <x:f>'Workplan'!B5</x:f>
        <x:v>Foundation</x:v>
      </x:c>
      <x:c r="B6" s="51" t="str">
        <x:f>'Workplan'!C5</x:f>
        <x:v>Identify target users, problem, ethical scope and non-advice boundary</x:v>
      </x:c>
      <x:c r="C6" s="71" t="n">
        <x:f>'Workplan'!D5</x:f>
        <x:v>46153</x:v>
      </x:c>
      <x:c r="D6" s="71" t="n">
        <x:f>'Workplan'!E5</x:f>
        <x:v>46164</x:v>
      </x:c>
      <x:c r="E6" s="51" t="str">
        <x:f>'Workplan'!G5</x:f>
        <x:v>Complete</x:v>
      </x:c>
      <x:c r="F6" s="72" t="str">
        <x:f>IF(AND(F$4&lt;=$D6,F$4+6&gt;=$C6),IF($E6="Complete",3,IF($E6="In progress",2,1)),"")</x:f>
      </x:c>
      <x:c r="G6" s="72" t="n">
        <x:f>IF(AND(G$4&lt;=$D6,G$4+6&gt;=$C6),IF($E6="Complete",3,IF($E6="In progress",2,1)),"")</x:f>
        <x:v>3</x:v>
      </x:c>
      <x:c r="H6" s="72" t="n">
        <x:f>IF(AND(H$4&lt;=$D6,H$4+6&gt;=$C6),IF($E6="Complete",3,IF($E6="In progress",2,1)),"")</x:f>
        <x:v>3</x:v>
      </x:c>
      <x:c r="I6" s="72" t="str">
        <x:f>IF(AND(I$4&lt;=$D6,I$4+6&gt;=$C6),IF($E6="Complete",3,IF($E6="In progress",2,1)),"")</x:f>
      </x:c>
      <x:c r="J6" s="72" t="str">
        <x:f>IF(AND(J$4&lt;=$D6,J$4+6&gt;=$C6),IF($E6="Complete",3,IF($E6="In progress",2,1)),"")</x:f>
      </x:c>
      <x:c r="K6" s="72" t="str">
        <x:f>IF(AND(K$4&lt;=$D6,K$4+6&gt;=$C6),IF($E6="Complete",3,IF($E6="In progress",2,1)),"")</x:f>
      </x:c>
      <x:c r="L6" s="72" t="str">
        <x:f>IF(AND(L$4&lt;=$D6,L$4+6&gt;=$C6),IF($E6="Complete",3,IF($E6="In progress",2,1)),"")</x:f>
      </x:c>
      <x:c r="M6" s="72" t="str">
        <x:f>IF(AND(M$4&lt;=$D6,M$4+6&gt;=$C6),IF($E6="Complete",3,IF($E6="In progress",2,1)),"")</x:f>
      </x:c>
      <x:c r="N6" s="72" t="str">
        <x:f>IF(AND(N$4&lt;=$D6,N$4+6&gt;=$C6),IF($E6="Complete",3,IF($E6="In progress",2,1)),"")</x:f>
      </x:c>
      <x:c r="O6" s="72" t="str">
        <x:f>IF(AND(O$4&lt;=$D6,O$4+6&gt;=$C6),IF($E6="Complete",3,IF($E6="In progress",2,1)),"")</x:f>
      </x:c>
      <x:c r="P6" s="72" t="str">
        <x:f>IF(AND(P$4&lt;=$D6,P$4+6&gt;=$C6),IF($E6="Complete",3,IF($E6="In progress",2,1)),"")</x:f>
      </x:c>
      <x:c r="Q6" s="72" t="str">
        <x:f>IF(AND(Q$4&lt;=$D6,Q$4+6&gt;=$C6),IF($E6="Complete",3,IF($E6="In progress",2,1)),"")</x:f>
      </x:c>
      <x:c r="R6" s="72" t="str">
        <x:f>IF(AND(R$4&lt;=$D6,R$4+6&gt;=$C6),IF($E6="Complete",3,IF($E6="In progress",2,1)),"")</x:f>
      </x:c>
      <x:c r="S6" s="72" t="str">
        <x:f>IF(AND(S$4&lt;=$D6,S$4+6&gt;=$C6),IF($E6="Complete",3,IF($E6="In progress",2,1)),"")</x:f>
      </x:c>
      <x:c r="T6" s="72" t="str">
        <x:f>IF(AND(T$4&lt;=$D6,T$4+6&gt;=$C6),IF($E6="Complete",3,IF($E6="In progress",2,1)),"")</x:f>
      </x:c>
      <x:c r="U6" s="72" t="str">
        <x:f>IF(AND(U$4&lt;=$D6,U$4+6&gt;=$C6),IF($E6="Complete",3,IF($E6="In progress",2,1)),"")</x:f>
      </x:c>
      <x:c r="V6" s="72" t="str">
        <x:f>IF(AND(V$4&lt;=$D6,V$4+6&gt;=$C6),IF($E6="Complete",3,IF($E6="In progress",2,1)),"")</x:f>
      </x:c>
      <x:c r="W6" s="72" t="str">
        <x:f>IF(AND(W$4&lt;=$D6,W$4+6&gt;=$C6),IF($E6="Complete",3,IF($E6="In progress",2,1)),"")</x:f>
      </x:c>
      <x:c r="X6" s="72" t="str">
        <x:f>IF(AND(X$4&lt;=$D6,X$4+6&gt;=$C6),IF($E6="Complete",3,IF($E6="In progress",2,1)),"")</x:f>
      </x:c>
      <x:c r="Y6" s="72" t="str">
        <x:f>IF(AND(Y$4&lt;=$D6,Y$4+6&gt;=$C6),IF($E6="Complete",3,IF($E6="In progress",2,1)),"")</x:f>
      </x:c>
      <x:c r="Z6" s="72" t="str">
        <x:f>IF(AND(Z$4&lt;=$D6,Z$4+6&gt;=$C6),IF($E6="Complete",3,IF($E6="In progress",2,1)),"")</x:f>
      </x:c>
      <x:c r="AA6" s="72" t="str">
        <x:f>IF(AND(AA$4&lt;=$D6,AA$4+6&gt;=$C6),IF($E6="Complete",3,IF($E6="In progress",2,1)),"")</x:f>
      </x:c>
    </x:row>
    <x:row r="7" ht="31" customHeight="1">
      <x:c r="A7" s="51" t="str">
        <x:f>'Workplan'!B6</x:f>
        <x:v>Strategy</x:v>
      </x:c>
      <x:c r="B7" s="51" t="str">
        <x:f>'Workplan'!C6</x:f>
        <x:v>Elicit and formalise mirrored VSA CAB Scenarios 1–3</x:v>
      </x:c>
      <x:c r="C7" s="71" t="n">
        <x:f>'Workplan'!D6</x:f>
        <x:v>46160</x:v>
      </x:c>
      <x:c r="D7" s="71" t="n">
        <x:f>'Workplan'!E6</x:f>
        <x:v>46171</x:v>
      </x:c>
      <x:c r="E7" s="51" t="str">
        <x:f>'Workplan'!G6</x:f>
        <x:v>Complete</x:v>
      </x:c>
      <x:c r="F7" s="72" t="str">
        <x:f>IF(AND(F$4&lt;=$D7,F$4+6&gt;=$C7),IF($E7="Complete",3,IF($E7="In progress",2,1)),"")</x:f>
      </x:c>
      <x:c r="G7" s="72" t="str">
        <x:f>IF(AND(G$4&lt;=$D7,G$4+6&gt;=$C7),IF($E7="Complete",3,IF($E7="In progress",2,1)),"")</x:f>
      </x:c>
      <x:c r="H7" s="72" t="n">
        <x:f>IF(AND(H$4&lt;=$D7,H$4+6&gt;=$C7),IF($E7="Complete",3,IF($E7="In progress",2,1)),"")</x:f>
        <x:v>3</x:v>
      </x:c>
      <x:c r="I7" s="72" t="n">
        <x:f>IF(AND(I$4&lt;=$D7,I$4+6&gt;=$C7),IF($E7="Complete",3,IF($E7="In progress",2,1)),"")</x:f>
        <x:v>3</x:v>
      </x:c>
      <x:c r="J7" s="72" t="str">
        <x:f>IF(AND(J$4&lt;=$D7,J$4+6&gt;=$C7),IF($E7="Complete",3,IF($E7="In progress",2,1)),"")</x:f>
      </x:c>
      <x:c r="K7" s="72" t="str">
        <x:f>IF(AND(K$4&lt;=$D7,K$4+6&gt;=$C7),IF($E7="Complete",3,IF($E7="In progress",2,1)),"")</x:f>
      </x:c>
      <x:c r="L7" s="72" t="str">
        <x:f>IF(AND(L$4&lt;=$D7,L$4+6&gt;=$C7),IF($E7="Complete",3,IF($E7="In progress",2,1)),"")</x:f>
      </x:c>
      <x:c r="M7" s="72" t="str">
        <x:f>IF(AND(M$4&lt;=$D7,M$4+6&gt;=$C7),IF($E7="Complete",3,IF($E7="In progress",2,1)),"")</x:f>
      </x:c>
      <x:c r="N7" s="72" t="str">
        <x:f>IF(AND(N$4&lt;=$D7,N$4+6&gt;=$C7),IF($E7="Complete",3,IF($E7="In progress",2,1)),"")</x:f>
      </x:c>
      <x:c r="O7" s="72" t="str">
        <x:f>IF(AND(O$4&lt;=$D7,O$4+6&gt;=$C7),IF($E7="Complete",3,IF($E7="In progress",2,1)),"")</x:f>
      </x:c>
      <x:c r="P7" s="72" t="str">
        <x:f>IF(AND(P$4&lt;=$D7,P$4+6&gt;=$C7),IF($E7="Complete",3,IF($E7="In progress",2,1)),"")</x:f>
      </x:c>
      <x:c r="Q7" s="72" t="str">
        <x:f>IF(AND(Q$4&lt;=$D7,Q$4+6&gt;=$C7),IF($E7="Complete",3,IF($E7="In progress",2,1)),"")</x:f>
      </x:c>
      <x:c r="R7" s="72" t="str">
        <x:f>IF(AND(R$4&lt;=$D7,R$4+6&gt;=$C7),IF($E7="Complete",3,IF($E7="In progress",2,1)),"")</x:f>
      </x:c>
      <x:c r="S7" s="72" t="str">
        <x:f>IF(AND(S$4&lt;=$D7,S$4+6&gt;=$C7),IF($E7="Complete",3,IF($E7="In progress",2,1)),"")</x:f>
      </x:c>
      <x:c r="T7" s="72" t="str">
        <x:f>IF(AND(T$4&lt;=$D7,T$4+6&gt;=$C7),IF($E7="Complete",3,IF($E7="In progress",2,1)),"")</x:f>
      </x:c>
      <x:c r="U7" s="72" t="str">
        <x:f>IF(AND(U$4&lt;=$D7,U$4+6&gt;=$C7),IF($E7="Complete",3,IF($E7="In progress",2,1)),"")</x:f>
      </x:c>
      <x:c r="V7" s="72" t="str">
        <x:f>IF(AND(V$4&lt;=$D7,V$4+6&gt;=$C7),IF($E7="Complete",3,IF($E7="In progress",2,1)),"")</x:f>
      </x:c>
      <x:c r="W7" s="72" t="str">
        <x:f>IF(AND(W$4&lt;=$D7,W$4+6&gt;=$C7),IF($E7="Complete",3,IF($E7="In progress",2,1)),"")</x:f>
      </x:c>
      <x:c r="X7" s="72" t="str">
        <x:f>IF(AND(X$4&lt;=$D7,X$4+6&gt;=$C7),IF($E7="Complete",3,IF($E7="In progress",2,1)),"")</x:f>
      </x:c>
      <x:c r="Y7" s="72" t="str">
        <x:f>IF(AND(Y$4&lt;=$D7,Y$4+6&gt;=$C7),IF($E7="Complete",3,IF($E7="In progress",2,1)),"")</x:f>
      </x:c>
      <x:c r="Z7" s="72" t="str">
        <x:f>IF(AND(Z$4&lt;=$D7,Z$4+6&gt;=$C7),IF($E7="Complete",3,IF($E7="In progress",2,1)),"")</x:f>
      </x:c>
      <x:c r="AA7" s="72" t="str">
        <x:f>IF(AND(AA$4&lt;=$D7,AA$4+6&gt;=$C7),IF($E7="Complete",3,IF($E7="In progress",2,1)),"")</x:f>
      </x:c>
    </x:row>
    <x:row r="8" ht="31" customHeight="1">
      <x:c r="A8" s="51" t="str">
        <x:f>'Workplan'!B7</x:f>
        <x:v>Research</x:v>
      </x:c>
      <x:c r="B8" s="51" t="str">
        <x:f>'Workplan'!C7</x:f>
        <x:v>Draft literature review, architecture and evaluation strategy</x:v>
      </x:c>
      <x:c r="C8" s="71" t="n">
        <x:f>'Workplan'!D7</x:f>
        <x:v>46160</x:v>
      </x:c>
      <x:c r="D8" s="71" t="n">
        <x:f>'Workplan'!E7</x:f>
        <x:v>46192</x:v>
      </x:c>
      <x:c r="E8" s="51" t="str">
        <x:f>'Workplan'!G7</x:f>
        <x:v>Complete</x:v>
      </x:c>
      <x:c r="F8" s="72" t="str">
        <x:f>IF(AND(F$4&lt;=$D8,F$4+6&gt;=$C8),IF($E8="Complete",3,IF($E8="In progress",2,1)),"")</x:f>
      </x:c>
      <x:c r="G8" s="72" t="str">
        <x:f>IF(AND(G$4&lt;=$D8,G$4+6&gt;=$C8),IF($E8="Complete",3,IF($E8="In progress",2,1)),"")</x:f>
      </x:c>
      <x:c r="H8" s="72" t="n">
        <x:f>IF(AND(H$4&lt;=$D8,H$4+6&gt;=$C8),IF($E8="Complete",3,IF($E8="In progress",2,1)),"")</x:f>
        <x:v>3</x:v>
      </x:c>
      <x:c r="I8" s="72" t="n">
        <x:f>IF(AND(I$4&lt;=$D8,I$4+6&gt;=$C8),IF($E8="Complete",3,IF($E8="In progress",2,1)),"")</x:f>
        <x:v>3</x:v>
      </x:c>
      <x:c r="J8" s="72" t="n">
        <x:f>IF(AND(J$4&lt;=$D8,J$4+6&gt;=$C8),IF($E8="Complete",3,IF($E8="In progress",2,1)),"")</x:f>
        <x:v>3</x:v>
      </x:c>
      <x:c r="K8" s="72" t="n">
        <x:f>IF(AND(K$4&lt;=$D8,K$4+6&gt;=$C8),IF($E8="Complete",3,IF($E8="In progress",2,1)),"")</x:f>
        <x:v>3</x:v>
      </x:c>
      <x:c r="L8" s="72" t="n">
        <x:f>IF(AND(L$4&lt;=$D8,L$4+6&gt;=$C8),IF($E8="Complete",3,IF($E8="In progress",2,1)),"")</x:f>
        <x:v>3</x:v>
      </x:c>
      <x:c r="M8" s="72" t="str">
        <x:f>IF(AND(M$4&lt;=$D8,M$4+6&gt;=$C8),IF($E8="Complete",3,IF($E8="In progress",2,1)),"")</x:f>
      </x:c>
      <x:c r="N8" s="72" t="str">
        <x:f>IF(AND(N$4&lt;=$D8,N$4+6&gt;=$C8),IF($E8="Complete",3,IF($E8="In progress",2,1)),"")</x:f>
      </x:c>
      <x:c r="O8" s="72" t="str">
        <x:f>IF(AND(O$4&lt;=$D8,O$4+6&gt;=$C8),IF($E8="Complete",3,IF($E8="In progress",2,1)),"")</x:f>
      </x:c>
      <x:c r="P8" s="72" t="str">
        <x:f>IF(AND(P$4&lt;=$D8,P$4+6&gt;=$C8),IF($E8="Complete",3,IF($E8="In progress",2,1)),"")</x:f>
      </x:c>
      <x:c r="Q8" s="72" t="str">
        <x:f>IF(AND(Q$4&lt;=$D8,Q$4+6&gt;=$C8),IF($E8="Complete",3,IF($E8="In progress",2,1)),"")</x:f>
      </x:c>
      <x:c r="R8" s="72" t="str">
        <x:f>IF(AND(R$4&lt;=$D8,R$4+6&gt;=$C8),IF($E8="Complete",3,IF($E8="In progress",2,1)),"")</x:f>
      </x:c>
      <x:c r="S8" s="72" t="str">
        <x:f>IF(AND(S$4&lt;=$D8,S$4+6&gt;=$C8),IF($E8="Complete",3,IF($E8="In progress",2,1)),"")</x:f>
      </x:c>
      <x:c r="T8" s="72" t="str">
        <x:f>IF(AND(T$4&lt;=$D8,T$4+6&gt;=$C8),IF($E8="Complete",3,IF($E8="In progress",2,1)),"")</x:f>
      </x:c>
      <x:c r="U8" s="72" t="str">
        <x:f>IF(AND(U$4&lt;=$D8,U$4+6&gt;=$C8),IF($E8="Complete",3,IF($E8="In progress",2,1)),"")</x:f>
      </x:c>
      <x:c r="V8" s="72" t="str">
        <x:f>IF(AND(V$4&lt;=$D8,V$4+6&gt;=$C8),IF($E8="Complete",3,IF($E8="In progress",2,1)),"")</x:f>
      </x:c>
      <x:c r="W8" s="72" t="str">
        <x:f>IF(AND(W$4&lt;=$D8,W$4+6&gt;=$C8),IF($E8="Complete",3,IF($E8="In progress",2,1)),"")</x:f>
      </x:c>
      <x:c r="X8" s="72" t="str">
        <x:f>IF(AND(X$4&lt;=$D8,X$4+6&gt;=$C8),IF($E8="Complete",3,IF($E8="In progress",2,1)),"")</x:f>
      </x:c>
      <x:c r="Y8" s="72" t="str">
        <x:f>IF(AND(Y$4&lt;=$D8,Y$4+6&gt;=$C8),IF($E8="Complete",3,IF($E8="In progress",2,1)),"")</x:f>
      </x:c>
      <x:c r="Z8" s="72" t="str">
        <x:f>IF(AND(Z$4&lt;=$D8,Z$4+6&gt;=$C8),IF($E8="Complete",3,IF($E8="In progress",2,1)),"")</x:f>
      </x:c>
      <x:c r="AA8" s="72" t="str">
        <x:f>IF(AND(AA$4&lt;=$D8,AA$4+6&gt;=$C8),IF($E8="Complete",3,IF($E8="In progress",2,1)),"")</x:f>
      </x:c>
    </x:row>
    <x:row r="9" ht="31" customHeight="1">
      <x:c r="A9" s="51" t="str">
        <x:f>'Workplan'!B8</x:f>
        <x:v>Prototype</x:v>
      </x:c>
      <x:c r="B9" s="51" t="str">
        <x:f>'Workplan'!C8</x:f>
        <x:v>Build feature prototype and submit preliminary report</x:v>
      </x:c>
      <x:c r="C9" s="71" t="n">
        <x:f>'Workplan'!D8</x:f>
        <x:v>46174</x:v>
      </x:c>
      <x:c r="D9" s="71" t="n">
        <x:f>'Workplan'!E8</x:f>
        <x:v>46202</x:v>
      </x:c>
      <x:c r="E9" s="51" t="str">
        <x:f>'Workplan'!G8</x:f>
        <x:v>Complete</x:v>
      </x:c>
      <x:c r="F9" s="72" t="str">
        <x:f>IF(AND(F$4&lt;=$D9,F$4+6&gt;=$C9),IF($E9="Complete",3,IF($E9="In progress",2,1)),"")</x:f>
      </x:c>
      <x:c r="G9" s="72" t="str">
        <x:f>IF(AND(G$4&lt;=$D9,G$4+6&gt;=$C9),IF($E9="Complete",3,IF($E9="In progress",2,1)),"")</x:f>
      </x:c>
      <x:c r="H9" s="72" t="str">
        <x:f>IF(AND(H$4&lt;=$D9,H$4+6&gt;=$C9),IF($E9="Complete",3,IF($E9="In progress",2,1)),"")</x:f>
      </x:c>
      <x:c r="I9" s="72" t="str">
        <x:f>IF(AND(I$4&lt;=$D9,I$4+6&gt;=$C9),IF($E9="Complete",3,IF($E9="In progress",2,1)),"")</x:f>
      </x:c>
      <x:c r="J9" s="72" t="n">
        <x:f>IF(AND(J$4&lt;=$D9,J$4+6&gt;=$C9),IF($E9="Complete",3,IF($E9="In progress",2,1)),"")</x:f>
        <x:v>3</x:v>
      </x:c>
      <x:c r="K9" s="72" t="n">
        <x:f>IF(AND(K$4&lt;=$D9,K$4+6&gt;=$C9),IF($E9="Complete",3,IF($E9="In progress",2,1)),"")</x:f>
        <x:v>3</x:v>
      </x:c>
      <x:c r="L9" s="72" t="n">
        <x:f>IF(AND(L$4&lt;=$D9,L$4+6&gt;=$C9),IF($E9="Complete",3,IF($E9="In progress",2,1)),"")</x:f>
        <x:v>3</x:v>
      </x:c>
      <x:c r="M9" s="72" t="n">
        <x:f>IF(AND(M$4&lt;=$D9,M$4+6&gt;=$C9),IF($E9="Complete",3,IF($E9="In progress",2,1)),"")</x:f>
        <x:v>3</x:v>
      </x:c>
      <x:c r="N9" s="72" t="n">
        <x:f>IF(AND(N$4&lt;=$D9,N$4+6&gt;=$C9),IF($E9="Complete",3,IF($E9="In progress",2,1)),"")</x:f>
        <x:v>3</x:v>
      </x:c>
      <x:c r="O9" s="72" t="str">
        <x:f>IF(AND(O$4&lt;=$D9,O$4+6&gt;=$C9),IF($E9="Complete",3,IF($E9="In progress",2,1)),"")</x:f>
      </x:c>
      <x:c r="P9" s="72" t="str">
        <x:f>IF(AND(P$4&lt;=$D9,P$4+6&gt;=$C9),IF($E9="Complete",3,IF($E9="In progress",2,1)),"")</x:f>
      </x:c>
      <x:c r="Q9" s="72" t="str">
        <x:f>IF(AND(Q$4&lt;=$D9,Q$4+6&gt;=$C9),IF($E9="Complete",3,IF($E9="In progress",2,1)),"")</x:f>
      </x:c>
      <x:c r="R9" s="72" t="str">
        <x:f>IF(AND(R$4&lt;=$D9,R$4+6&gt;=$C9),IF($E9="Complete",3,IF($E9="In progress",2,1)),"")</x:f>
      </x:c>
      <x:c r="S9" s="72" t="str">
        <x:f>IF(AND(S$4&lt;=$D9,S$4+6&gt;=$C9),IF($E9="Complete",3,IF($E9="In progress",2,1)),"")</x:f>
      </x:c>
      <x:c r="T9" s="72" t="str">
        <x:f>IF(AND(T$4&lt;=$D9,T$4+6&gt;=$C9),IF($E9="Complete",3,IF($E9="In progress",2,1)),"")</x:f>
      </x:c>
      <x:c r="U9" s="72" t="str">
        <x:f>IF(AND(U$4&lt;=$D9,U$4+6&gt;=$C9),IF($E9="Complete",3,IF($E9="In progress",2,1)),"")</x:f>
      </x:c>
      <x:c r="V9" s="72" t="str">
        <x:f>IF(AND(V$4&lt;=$D9,V$4+6&gt;=$C9),IF($E9="Complete",3,IF($E9="In progress",2,1)),"")</x:f>
      </x:c>
      <x:c r="W9" s="72" t="str">
        <x:f>IF(AND(W$4&lt;=$D9,W$4+6&gt;=$C9),IF($E9="Complete",3,IF($E9="In progress",2,1)),"")</x:f>
      </x:c>
      <x:c r="X9" s="72" t="str">
        <x:f>IF(AND(X$4&lt;=$D9,X$4+6&gt;=$C9),IF($E9="Complete",3,IF($E9="In progress",2,1)),"")</x:f>
      </x:c>
      <x:c r="Y9" s="72" t="str">
        <x:f>IF(AND(Y$4&lt;=$D9,Y$4+6&gt;=$C9),IF($E9="Complete",3,IF($E9="In progress",2,1)),"")</x:f>
      </x:c>
      <x:c r="Z9" s="72" t="str">
        <x:f>IF(AND(Z$4&lt;=$D9,Z$4+6&gt;=$C9),IF($E9="Complete",3,IF($E9="In progress",2,1)),"")</x:f>
      </x:c>
      <x:c r="AA9" s="72" t="str">
        <x:f>IF(AND(AA$4&lt;=$D9,AA$4+6&gt;=$C9),IF($E9="Complete",3,IF($E9="In progress",2,1)),"")</x:f>
      </x:c>
    </x:row>
    <x:row r="10" ht="31" customHeight="1">
      <x:c r="A10" s="51" t="str">
        <x:f>'Workplan'!B9</x:f>
        <x:v>Data</x:v>
      </x:c>
      <x:c r="B10" s="51" t="str">
        <x:f>'Workplan'!C9</x:f>
        <x:v>Acquire, clean and validate XAUUSD five-minute data</x:v>
      </x:c>
      <x:c r="C10" s="71" t="n">
        <x:f>'Workplan'!D9</x:f>
        <x:v>46203</x:v>
      </x:c>
      <x:c r="D10" s="71" t="n">
        <x:f>'Workplan'!E9</x:f>
        <x:v>46213</x:v>
      </x:c>
      <x:c r="E10" s="51" t="str">
        <x:f>'Workplan'!G9</x:f>
        <x:v>Complete</x:v>
      </x:c>
      <x:c r="F10" s="72" t="str">
        <x:f>IF(AND(F$4&lt;=$D10,F$4+6&gt;=$C10),IF($E10="Complete",3,IF($E10="In progress",2,1)),"")</x:f>
      </x:c>
      <x:c r="G10" s="72" t="str">
        <x:f>IF(AND(G$4&lt;=$D10,G$4+6&gt;=$C10),IF($E10="Complete",3,IF($E10="In progress",2,1)),"")</x:f>
      </x:c>
      <x:c r="H10" s="72" t="str">
        <x:f>IF(AND(H$4&lt;=$D10,H$4+6&gt;=$C10),IF($E10="Complete",3,IF($E10="In progress",2,1)),"")</x:f>
      </x:c>
      <x:c r="I10" s="72" t="str">
        <x:f>IF(AND(I$4&lt;=$D10,I$4+6&gt;=$C10),IF($E10="Complete",3,IF($E10="In progress",2,1)),"")</x:f>
      </x:c>
      <x:c r="J10" s="72" t="str">
        <x:f>IF(AND(J$4&lt;=$D10,J$4+6&gt;=$C10),IF($E10="Complete",3,IF($E10="In progress",2,1)),"")</x:f>
      </x:c>
      <x:c r="K10" s="72" t="str">
        <x:f>IF(AND(K$4&lt;=$D10,K$4+6&gt;=$C10),IF($E10="Complete",3,IF($E10="In progress",2,1)),"")</x:f>
      </x:c>
      <x:c r="L10" s="72" t="str">
        <x:f>IF(AND(L$4&lt;=$D10,L$4+6&gt;=$C10),IF($E10="Complete",3,IF($E10="In progress",2,1)),"")</x:f>
      </x:c>
      <x:c r="M10" s="72" t="str">
        <x:f>IF(AND(M$4&lt;=$D10,M$4+6&gt;=$C10),IF($E10="Complete",3,IF($E10="In progress",2,1)),"")</x:f>
      </x:c>
      <x:c r="N10" s="72" t="n">
        <x:f>IF(AND(N$4&lt;=$D10,N$4+6&gt;=$C10),IF($E10="Complete",3,IF($E10="In progress",2,1)),"")</x:f>
        <x:v>3</x:v>
      </x:c>
      <x:c r="O10" s="72" t="n">
        <x:f>IF(AND(O$4&lt;=$D10,O$4+6&gt;=$C10),IF($E10="Complete",3,IF($E10="In progress",2,1)),"")</x:f>
        <x:v>3</x:v>
      </x:c>
      <x:c r="P10" s="72" t="str">
        <x:f>IF(AND(P$4&lt;=$D10,P$4+6&gt;=$C10),IF($E10="Complete",3,IF($E10="In progress",2,1)),"")</x:f>
      </x:c>
      <x:c r="Q10" s="72" t="str">
        <x:f>IF(AND(Q$4&lt;=$D10,Q$4+6&gt;=$C10),IF($E10="Complete",3,IF($E10="In progress",2,1)),"")</x:f>
      </x:c>
      <x:c r="R10" s="72" t="str">
        <x:f>IF(AND(R$4&lt;=$D10,R$4+6&gt;=$C10),IF($E10="Complete",3,IF($E10="In progress",2,1)),"")</x:f>
      </x:c>
      <x:c r="S10" s="72" t="str">
        <x:f>IF(AND(S$4&lt;=$D10,S$4+6&gt;=$C10),IF($E10="Complete",3,IF($E10="In progress",2,1)),"")</x:f>
      </x:c>
      <x:c r="T10" s="72" t="str">
        <x:f>IF(AND(T$4&lt;=$D10,T$4+6&gt;=$C10),IF($E10="Complete",3,IF($E10="In progress",2,1)),"")</x:f>
      </x:c>
      <x:c r="U10" s="72" t="str">
        <x:f>IF(AND(U$4&lt;=$D10,U$4+6&gt;=$C10),IF($E10="Complete",3,IF($E10="In progress",2,1)),"")</x:f>
      </x:c>
      <x:c r="V10" s="72" t="str">
        <x:f>IF(AND(V$4&lt;=$D10,V$4+6&gt;=$C10),IF($E10="Complete",3,IF($E10="In progress",2,1)),"")</x:f>
      </x:c>
      <x:c r="W10" s="72" t="str">
        <x:f>IF(AND(W$4&lt;=$D10,W$4+6&gt;=$C10),IF($E10="Complete",3,IF($E10="In progress",2,1)),"")</x:f>
      </x:c>
      <x:c r="X10" s="72" t="str">
        <x:f>IF(AND(X$4&lt;=$D10,X$4+6&gt;=$C10),IF($E10="Complete",3,IF($E10="In progress",2,1)),"")</x:f>
      </x:c>
      <x:c r="Y10" s="72" t="str">
        <x:f>IF(AND(Y$4&lt;=$D10,Y$4+6&gt;=$C10),IF($E10="Complete",3,IF($E10="In progress",2,1)),"")</x:f>
      </x:c>
      <x:c r="Z10" s="72" t="str">
        <x:f>IF(AND(Z$4&lt;=$D10,Z$4+6&gt;=$C10),IF($E10="Complete",3,IF($E10="In progress",2,1)),"")</x:f>
      </x:c>
      <x:c r="AA10" s="72" t="str">
        <x:f>IF(AND(AA$4&lt;=$D10,AA$4+6&gt;=$C10),IF($E10="Complete",3,IF($E10="In progress",2,1)),"")</x:f>
      </x:c>
    </x:row>
    <x:row r="11" ht="31" customHeight="1">
      <x:c r="A11" s="51" t="str">
        <x:f>'Workplan'!B10</x:f>
        <x:v>ML</x:v>
      </x:c>
      <x:c r="B11" s="51" t="str">
        <x:f>'Workplan'!C10</x:f>
        <x:v>Extract formal VSA setups and generate outcome labels</x:v>
      </x:c>
      <x:c r="C11" s="71" t="n">
        <x:f>'Workplan'!D10</x:f>
        <x:v>46209</x:v>
      </x:c>
      <x:c r="D11" s="71" t="n">
        <x:f>'Workplan'!E10</x:f>
        <x:v>46223</x:v>
      </x:c>
      <x:c r="E11" s="51" t="str">
        <x:f>'Workplan'!G10</x:f>
        <x:v>Complete</x:v>
      </x:c>
      <x:c r="F11" s="72" t="str">
        <x:f>IF(AND(F$4&lt;=$D11,F$4+6&gt;=$C11),IF($E11="Complete",3,IF($E11="In progress",2,1)),"")</x:f>
      </x:c>
      <x:c r="G11" s="72" t="str">
        <x:f>IF(AND(G$4&lt;=$D11,G$4+6&gt;=$C11),IF($E11="Complete",3,IF($E11="In progress",2,1)),"")</x:f>
      </x:c>
      <x:c r="H11" s="72" t="str">
        <x:f>IF(AND(H$4&lt;=$D11,H$4+6&gt;=$C11),IF($E11="Complete",3,IF($E11="In progress",2,1)),"")</x:f>
      </x:c>
      <x:c r="I11" s="72" t="str">
        <x:f>IF(AND(I$4&lt;=$D11,I$4+6&gt;=$C11),IF($E11="Complete",3,IF($E11="In progress",2,1)),"")</x:f>
      </x:c>
      <x:c r="J11" s="72" t="str">
        <x:f>IF(AND(J$4&lt;=$D11,J$4+6&gt;=$C11),IF($E11="Complete",3,IF($E11="In progress",2,1)),"")</x:f>
      </x:c>
      <x:c r="K11" s="72" t="str">
        <x:f>IF(AND(K$4&lt;=$D11,K$4+6&gt;=$C11),IF($E11="Complete",3,IF($E11="In progress",2,1)),"")</x:f>
      </x:c>
      <x:c r="L11" s="72" t="str">
        <x:f>IF(AND(L$4&lt;=$D11,L$4+6&gt;=$C11),IF($E11="Complete",3,IF($E11="In progress",2,1)),"")</x:f>
      </x:c>
      <x:c r="M11" s="72" t="str">
        <x:f>IF(AND(M$4&lt;=$D11,M$4+6&gt;=$C11),IF($E11="Complete",3,IF($E11="In progress",2,1)),"")</x:f>
      </x:c>
      <x:c r="N11" s="72" t="str">
        <x:f>IF(AND(N$4&lt;=$D11,N$4+6&gt;=$C11),IF($E11="Complete",3,IF($E11="In progress",2,1)),"")</x:f>
      </x:c>
      <x:c r="O11" s="72" t="n">
        <x:f>IF(AND(O$4&lt;=$D11,O$4+6&gt;=$C11),IF($E11="Complete",3,IF($E11="In progress",2,1)),"")</x:f>
        <x:v>3</x:v>
      </x:c>
      <x:c r="P11" s="72" t="n">
        <x:f>IF(AND(P$4&lt;=$D11,P$4+6&gt;=$C11),IF($E11="Complete",3,IF($E11="In progress",2,1)),"")</x:f>
        <x:v>3</x:v>
      </x:c>
      <x:c r="Q11" s="72" t="n">
        <x:f>IF(AND(Q$4&lt;=$D11,Q$4+6&gt;=$C11),IF($E11="Complete",3,IF($E11="In progress",2,1)),"")</x:f>
        <x:v>3</x:v>
      </x:c>
      <x:c r="R11" s="72" t="str">
        <x:f>IF(AND(R$4&lt;=$D11,R$4+6&gt;=$C11),IF($E11="Complete",3,IF($E11="In progress",2,1)),"")</x:f>
      </x:c>
      <x:c r="S11" s="72" t="str">
        <x:f>IF(AND(S$4&lt;=$D11,S$4+6&gt;=$C11),IF($E11="Complete",3,IF($E11="In progress",2,1)),"")</x:f>
      </x:c>
      <x:c r="T11" s="72" t="str">
        <x:f>IF(AND(T$4&lt;=$D11,T$4+6&gt;=$C11),IF($E11="Complete",3,IF($E11="In progress",2,1)),"")</x:f>
      </x:c>
      <x:c r="U11" s="72" t="str">
        <x:f>IF(AND(U$4&lt;=$D11,U$4+6&gt;=$C11),IF($E11="Complete",3,IF($E11="In progress",2,1)),"")</x:f>
      </x:c>
      <x:c r="V11" s="72" t="str">
        <x:f>IF(AND(V$4&lt;=$D11,V$4+6&gt;=$C11),IF($E11="Complete",3,IF($E11="In progress",2,1)),"")</x:f>
      </x:c>
      <x:c r="W11" s="72" t="str">
        <x:f>IF(AND(W$4&lt;=$D11,W$4+6&gt;=$C11),IF($E11="Complete",3,IF($E11="In progress",2,1)),"")</x:f>
      </x:c>
      <x:c r="X11" s="72" t="str">
        <x:f>IF(AND(X$4&lt;=$D11,X$4+6&gt;=$C11),IF($E11="Complete",3,IF($E11="In progress",2,1)),"")</x:f>
      </x:c>
      <x:c r="Y11" s="72" t="str">
        <x:f>IF(AND(Y$4&lt;=$D11,Y$4+6&gt;=$C11),IF($E11="Complete",3,IF($E11="In progress",2,1)),"")</x:f>
      </x:c>
      <x:c r="Z11" s="72" t="str">
        <x:f>IF(AND(Z$4&lt;=$D11,Z$4+6&gt;=$C11),IF($E11="Complete",3,IF($E11="In progress",2,1)),"")</x:f>
      </x:c>
      <x:c r="AA11" s="72" t="str">
        <x:f>IF(AND(AA$4&lt;=$D11,AA$4+6&gt;=$C11),IF($E11="Complete",3,IF($E11="In progress",2,1)),"")</x:f>
      </x:c>
    </x:row>
    <x:row r="12" ht="31" customHeight="1">
      <x:c r="A12" s="51" t="str">
        <x:f>'Workplan'!B11</x:f>
        <x:v>ML</x:v>
      </x:c>
      <x:c r="B12" s="51" t="str">
        <x:f>'Workplan'!C11</x:f>
        <x:v>Train Logistic Regression and Random Forest separately</x:v>
      </x:c>
      <x:c r="C12" s="71" t="n">
        <x:f>'Workplan'!D11</x:f>
        <x:v>46223</x:v>
      </x:c>
      <x:c r="D12" s="71" t="n">
        <x:f>'Workplan'!E11</x:f>
        <x:v>46237</x:v>
      </x:c>
      <x:c r="E12" s="51" t="str">
        <x:f>'Workplan'!G11</x:f>
        <x:v>Complete</x:v>
      </x:c>
      <x:c r="F12" s="72" t="str">
        <x:f>IF(AND(F$4&lt;=$D12,F$4+6&gt;=$C12),IF($E12="Complete",3,IF($E12="In progress",2,1)),"")</x:f>
      </x:c>
      <x:c r="G12" s="72" t="str">
        <x:f>IF(AND(G$4&lt;=$D12,G$4+6&gt;=$C12),IF($E12="Complete",3,IF($E12="In progress",2,1)),"")</x:f>
      </x:c>
      <x:c r="H12" s="72" t="str">
        <x:f>IF(AND(H$4&lt;=$D12,H$4+6&gt;=$C12),IF($E12="Complete",3,IF($E12="In progress",2,1)),"")</x:f>
      </x:c>
      <x:c r="I12" s="72" t="str">
        <x:f>IF(AND(I$4&lt;=$D12,I$4+6&gt;=$C12),IF($E12="Complete",3,IF($E12="In progress",2,1)),"")</x:f>
      </x:c>
      <x:c r="J12" s="72" t="str">
        <x:f>IF(AND(J$4&lt;=$D12,J$4+6&gt;=$C12),IF($E12="Complete",3,IF($E12="In progress",2,1)),"")</x:f>
      </x:c>
      <x:c r="K12" s="72" t="str">
        <x:f>IF(AND(K$4&lt;=$D12,K$4+6&gt;=$C12),IF($E12="Complete",3,IF($E12="In progress",2,1)),"")</x:f>
      </x:c>
      <x:c r="L12" s="72" t="str">
        <x:f>IF(AND(L$4&lt;=$D12,L$4+6&gt;=$C12),IF($E12="Complete",3,IF($E12="In progress",2,1)),"")</x:f>
      </x:c>
      <x:c r="M12" s="72" t="str">
        <x:f>IF(AND(M$4&lt;=$D12,M$4+6&gt;=$C12),IF($E12="Complete",3,IF($E12="In progress",2,1)),"")</x:f>
      </x:c>
      <x:c r="N12" s="72" t="str">
        <x:f>IF(AND(N$4&lt;=$D12,N$4+6&gt;=$C12),IF($E12="Complete",3,IF($E12="In progress",2,1)),"")</x:f>
      </x:c>
      <x:c r="O12" s="72" t="str">
        <x:f>IF(AND(O$4&lt;=$D12,O$4+6&gt;=$C12),IF($E12="Complete",3,IF($E12="In progress",2,1)),"")</x:f>
      </x:c>
      <x:c r="P12" s="72" t="str">
        <x:f>IF(AND(P$4&lt;=$D12,P$4+6&gt;=$C12),IF($E12="Complete",3,IF($E12="In progress",2,1)),"")</x:f>
      </x:c>
      <x:c r="Q12" s="72" t="n">
        <x:f>IF(AND(Q$4&lt;=$D12,Q$4+6&gt;=$C12),IF($E12="Complete",3,IF($E12="In progress",2,1)),"")</x:f>
        <x:v>3</x:v>
      </x:c>
      <x:c r="R12" s="72" t="n">
        <x:f>IF(AND(R$4&lt;=$D12,R$4+6&gt;=$C12),IF($E12="Complete",3,IF($E12="In progress",2,1)),"")</x:f>
        <x:v>3</x:v>
      </x:c>
      <x:c r="S12" s="72" t="n">
        <x:f>IF(AND(S$4&lt;=$D12,S$4+6&gt;=$C12),IF($E12="Complete",3,IF($E12="In progress",2,1)),"")</x:f>
        <x:v>3</x:v>
      </x:c>
      <x:c r="T12" s="72" t="str">
        <x:f>IF(AND(T$4&lt;=$D12,T$4+6&gt;=$C12),IF($E12="Complete",3,IF($E12="In progress",2,1)),"")</x:f>
      </x:c>
      <x:c r="U12" s="72" t="str">
        <x:f>IF(AND(U$4&lt;=$D12,U$4+6&gt;=$C12),IF($E12="Complete",3,IF($E12="In progress",2,1)),"")</x:f>
      </x:c>
      <x:c r="V12" s="72" t="str">
        <x:f>IF(AND(V$4&lt;=$D12,V$4+6&gt;=$C12),IF($E12="Complete",3,IF($E12="In progress",2,1)),"")</x:f>
      </x:c>
      <x:c r="W12" s="72" t="str">
        <x:f>IF(AND(W$4&lt;=$D12,W$4+6&gt;=$C12),IF($E12="Complete",3,IF($E12="In progress",2,1)),"")</x:f>
      </x:c>
      <x:c r="X12" s="72" t="str">
        <x:f>IF(AND(X$4&lt;=$D12,X$4+6&gt;=$C12),IF($E12="Complete",3,IF($E12="In progress",2,1)),"")</x:f>
      </x:c>
      <x:c r="Y12" s="72" t="str">
        <x:f>IF(AND(Y$4&lt;=$D12,Y$4+6&gt;=$C12),IF($E12="Complete",3,IF($E12="In progress",2,1)),"")</x:f>
      </x:c>
      <x:c r="Z12" s="72" t="str">
        <x:f>IF(AND(Z$4&lt;=$D12,Z$4+6&gt;=$C12),IF($E12="Complete",3,IF($E12="In progress",2,1)),"")</x:f>
      </x:c>
      <x:c r="AA12" s="72" t="str">
        <x:f>IF(AND(AA$4&lt;=$D12,AA$4+6&gt;=$C12),IF($E12="Complete",3,IF($E12="In progress",2,1)),"")</x:f>
      </x:c>
    </x:row>
    <x:row r="13" ht="31" customHeight="1">
      <x:c r="A13" s="51" t="str">
        <x:f>'Workplan'!B12</x:f>
        <x:v>ML</x:v>
      </x:c>
      <x:c r="B13" s="51" t="str">
        <x:f>'Workplan'!C12</x:f>
        <x:v>Tune validation thresholds, compare baselines and select LR</x:v>
      </x:c>
      <x:c r="C13" s="71" t="n">
        <x:f>'Workplan'!D12</x:f>
        <x:v>46235</x:v>
      </x:c>
      <x:c r="D13" s="71" t="n">
        <x:f>'Workplan'!E12</x:f>
        <x:v>46241</x:v>
      </x:c>
      <x:c r="E13" s="51" t="str">
        <x:f>'Workplan'!G12</x:f>
        <x:v>Complete</x:v>
      </x:c>
      <x:c r="F13" s="72" t="str">
        <x:f>IF(AND(F$4&lt;=$D13,F$4+6&gt;=$C13),IF($E13="Complete",3,IF($E13="In progress",2,1)),"")</x:f>
      </x:c>
      <x:c r="G13" s="72" t="str">
        <x:f>IF(AND(G$4&lt;=$D13,G$4+6&gt;=$C13),IF($E13="Complete",3,IF($E13="In progress",2,1)),"")</x:f>
      </x:c>
      <x:c r="H13" s="72" t="str">
        <x:f>IF(AND(H$4&lt;=$D13,H$4+6&gt;=$C13),IF($E13="Complete",3,IF($E13="In progress",2,1)),"")</x:f>
      </x:c>
      <x:c r="I13" s="72" t="str">
        <x:f>IF(AND(I$4&lt;=$D13,I$4+6&gt;=$C13),IF($E13="Complete",3,IF($E13="In progress",2,1)),"")</x:f>
      </x:c>
      <x:c r="J13" s="72" t="str">
        <x:f>IF(AND(J$4&lt;=$D13,J$4+6&gt;=$C13),IF($E13="Complete",3,IF($E13="In progress",2,1)),"")</x:f>
      </x:c>
      <x:c r="K13" s="72" t="str">
        <x:f>IF(AND(K$4&lt;=$D13,K$4+6&gt;=$C13),IF($E13="Complete",3,IF($E13="In progress",2,1)),"")</x:f>
      </x:c>
      <x:c r="L13" s="72" t="str">
        <x:f>IF(AND(L$4&lt;=$D13,L$4+6&gt;=$C13),IF($E13="Complete",3,IF($E13="In progress",2,1)),"")</x:f>
      </x:c>
      <x:c r="M13" s="72" t="str">
        <x:f>IF(AND(M$4&lt;=$D13,M$4+6&gt;=$C13),IF($E13="Complete",3,IF($E13="In progress",2,1)),"")</x:f>
      </x:c>
      <x:c r="N13" s="72" t="str">
        <x:f>IF(AND(N$4&lt;=$D13,N$4+6&gt;=$C13),IF($E13="Complete",3,IF($E13="In progress",2,1)),"")</x:f>
      </x:c>
      <x:c r="O13" s="72" t="str">
        <x:f>IF(AND(O$4&lt;=$D13,O$4+6&gt;=$C13),IF($E13="Complete",3,IF($E13="In progress",2,1)),"")</x:f>
      </x:c>
      <x:c r="P13" s="72" t="str">
        <x:f>IF(AND(P$4&lt;=$D13,P$4+6&gt;=$C13),IF($E13="Complete",3,IF($E13="In progress",2,1)),"")</x:f>
      </x:c>
      <x:c r="Q13" s="72" t="str">
        <x:f>IF(AND(Q$4&lt;=$D13,Q$4+6&gt;=$C13),IF($E13="Complete",3,IF($E13="In progress",2,1)),"")</x:f>
      </x:c>
      <x:c r="R13" s="72" t="n">
        <x:f>IF(AND(R$4&lt;=$D13,R$4+6&gt;=$C13),IF($E13="Complete",3,IF($E13="In progress",2,1)),"")</x:f>
        <x:v>3</x:v>
      </x:c>
      <x:c r="S13" s="72" t="n">
        <x:f>IF(AND(S$4&lt;=$D13,S$4+6&gt;=$C13),IF($E13="Complete",3,IF($E13="In progress",2,1)),"")</x:f>
        <x:v>3</x:v>
      </x:c>
      <x:c r="T13" s="72" t="str">
        <x:f>IF(AND(T$4&lt;=$D13,T$4+6&gt;=$C13),IF($E13="Complete",3,IF($E13="In progress",2,1)),"")</x:f>
      </x:c>
      <x:c r="U13" s="72" t="str">
        <x:f>IF(AND(U$4&lt;=$D13,U$4+6&gt;=$C13),IF($E13="Complete",3,IF($E13="In progress",2,1)),"")</x:f>
      </x:c>
      <x:c r="V13" s="72" t="str">
        <x:f>IF(AND(V$4&lt;=$D13,V$4+6&gt;=$C13),IF($E13="Complete",3,IF($E13="In progress",2,1)),"")</x:f>
      </x:c>
      <x:c r="W13" s="72" t="str">
        <x:f>IF(AND(W$4&lt;=$D13,W$4+6&gt;=$C13),IF($E13="Complete",3,IF($E13="In progress",2,1)),"")</x:f>
      </x:c>
      <x:c r="X13" s="72" t="str">
        <x:f>IF(AND(X$4&lt;=$D13,X$4+6&gt;=$C13),IF($E13="Complete",3,IF($E13="In progress",2,1)),"")</x:f>
      </x:c>
      <x:c r="Y13" s="72" t="str">
        <x:f>IF(AND(Y$4&lt;=$D13,Y$4+6&gt;=$C13),IF($E13="Complete",3,IF($E13="In progress",2,1)),"")</x:f>
      </x:c>
      <x:c r="Z13" s="72" t="str">
        <x:f>IF(AND(Z$4&lt;=$D13,Z$4+6&gt;=$C13),IF($E13="Complete",3,IF($E13="In progress",2,1)),"")</x:f>
      </x:c>
      <x:c r="AA13" s="72" t="str">
        <x:f>IF(AND(AA$4&lt;=$D13,AA$4+6&gt;=$C13),IF($E13="Complete",3,IF($E13="In progress",2,1)),"")</x:f>
      </x:c>
    </x:row>
    <x:row r="14" ht="31" customHeight="1">
      <x:c r="A14" s="51" t="str">
        <x:f>'Workplan'!B13</x:f>
        <x:v>Product</x:v>
      </x:c>
      <x:c r="B14" s="51" t="str">
        <x:f>'Workplan'!C13</x:f>
        <x:v>Build Streamlit advisor, explanation and evaluation pages</x:v>
      </x:c>
      <x:c r="C14" s="71" t="n">
        <x:f>'Workplan'!D13</x:f>
        <x:v>46230</x:v>
      </x:c>
      <x:c r="D14" s="71" t="n">
        <x:f>'Workplan'!E13</x:f>
        <x:v>46244</x:v>
      </x:c>
      <x:c r="E14" s="51" t="str">
        <x:f>'Workplan'!G13</x:f>
        <x:v>Complete</x:v>
      </x:c>
      <x:c r="F14" s="72" t="str">
        <x:f>IF(AND(F$4&lt;=$D14,F$4+6&gt;=$C14),IF($E14="Complete",3,IF($E14="In progress",2,1)),"")</x:f>
      </x:c>
      <x:c r="G14" s="72" t="str">
        <x:f>IF(AND(G$4&lt;=$D14,G$4+6&gt;=$C14),IF($E14="Complete",3,IF($E14="In progress",2,1)),"")</x:f>
      </x:c>
      <x:c r="H14" s="72" t="str">
        <x:f>IF(AND(H$4&lt;=$D14,H$4+6&gt;=$C14),IF($E14="Complete",3,IF($E14="In progress",2,1)),"")</x:f>
      </x:c>
      <x:c r="I14" s="72" t="str">
        <x:f>IF(AND(I$4&lt;=$D14,I$4+6&gt;=$C14),IF($E14="Complete",3,IF($E14="In progress",2,1)),"")</x:f>
      </x:c>
      <x:c r="J14" s="72" t="str">
        <x:f>IF(AND(J$4&lt;=$D14,J$4+6&gt;=$C14),IF($E14="Complete",3,IF($E14="In progress",2,1)),"")</x:f>
      </x:c>
      <x:c r="K14" s="72" t="str">
        <x:f>IF(AND(K$4&lt;=$D14,K$4+6&gt;=$C14),IF($E14="Complete",3,IF($E14="In progress",2,1)),"")</x:f>
      </x:c>
      <x:c r="L14" s="72" t="str">
        <x:f>IF(AND(L$4&lt;=$D14,L$4+6&gt;=$C14),IF($E14="Complete",3,IF($E14="In progress",2,1)),"")</x:f>
      </x:c>
      <x:c r="M14" s="72" t="str">
        <x:f>IF(AND(M$4&lt;=$D14,M$4+6&gt;=$C14),IF($E14="Complete",3,IF($E14="In progress",2,1)),"")</x:f>
      </x:c>
      <x:c r="N14" s="72" t="str">
        <x:f>IF(AND(N$4&lt;=$D14,N$4+6&gt;=$C14),IF($E14="Complete",3,IF($E14="In progress",2,1)),"")</x:f>
      </x:c>
      <x:c r="O14" s="72" t="str">
        <x:f>IF(AND(O$4&lt;=$D14,O$4+6&gt;=$C14),IF($E14="Complete",3,IF($E14="In progress",2,1)),"")</x:f>
      </x:c>
      <x:c r="P14" s="72" t="str">
        <x:f>IF(AND(P$4&lt;=$D14,P$4+6&gt;=$C14),IF($E14="Complete",3,IF($E14="In progress",2,1)),"")</x:f>
      </x:c>
      <x:c r="Q14" s="72" t="str">
        <x:f>IF(AND(Q$4&lt;=$D14,Q$4+6&gt;=$C14),IF($E14="Complete",3,IF($E14="In progress",2,1)),"")</x:f>
      </x:c>
      <x:c r="R14" s="72" t="n">
        <x:f>IF(AND(R$4&lt;=$D14,R$4+6&gt;=$C14),IF($E14="Complete",3,IF($E14="In progress",2,1)),"")</x:f>
        <x:v>3</x:v>
      </x:c>
      <x:c r="S14" s="72" t="n">
        <x:f>IF(AND(S$4&lt;=$D14,S$4+6&gt;=$C14),IF($E14="Complete",3,IF($E14="In progress",2,1)),"")</x:f>
        <x:v>3</x:v>
      </x:c>
      <x:c r="T14" s="72" t="n">
        <x:f>IF(AND(T$4&lt;=$D14,T$4+6&gt;=$C14),IF($E14="Complete",3,IF($E14="In progress",2,1)),"")</x:f>
        <x:v>3</x:v>
      </x:c>
      <x:c r="U14" s="72" t="str">
        <x:f>IF(AND(U$4&lt;=$D14,U$4+6&gt;=$C14),IF($E14="Complete",3,IF($E14="In progress",2,1)),"")</x:f>
      </x:c>
      <x:c r="V14" s="72" t="str">
        <x:f>IF(AND(V$4&lt;=$D14,V$4+6&gt;=$C14),IF($E14="Complete",3,IF($E14="In progress",2,1)),"")</x:f>
      </x:c>
      <x:c r="W14" s="72" t="str">
        <x:f>IF(AND(W$4&lt;=$D14,W$4+6&gt;=$C14),IF($E14="Complete",3,IF($E14="In progress",2,1)),"")</x:f>
      </x:c>
      <x:c r="X14" s="72" t="str">
        <x:f>IF(AND(X$4&lt;=$D14,X$4+6&gt;=$C14),IF($E14="Complete",3,IF($E14="In progress",2,1)),"")</x:f>
      </x:c>
      <x:c r="Y14" s="72" t="str">
        <x:f>IF(AND(Y$4&lt;=$D14,Y$4+6&gt;=$C14),IF($E14="Complete",3,IF($E14="In progress",2,1)),"")</x:f>
      </x:c>
      <x:c r="Z14" s="72" t="str">
        <x:f>IF(AND(Z$4&lt;=$D14,Z$4+6&gt;=$C14),IF($E14="Complete",3,IF($E14="In progress",2,1)),"")</x:f>
      </x:c>
      <x:c r="AA14" s="72" t="str">
        <x:f>IF(AND(AA$4&lt;=$D14,AA$4+6&gt;=$C14),IF($E14="Complete",3,IF($E14="In progress",2,1)),"")</x:f>
      </x:c>
    </x:row>
    <x:row r="15" ht="31" customHeight="1">
      <x:c r="A15" s="51" t="str">
        <x:f>'Workplan'!B14</x:f>
        <x:v>Integration</x:v>
      </x:c>
      <x:c r="B15" s="51" t="str">
        <x:f>'Workplan'!C14</x:f>
        <x:v>Implement MT5 CSV bridge, M5 exporter and risk controls</x:v>
      </x:c>
      <x:c r="C15" s="71" t="n">
        <x:f>'Workplan'!D14</x:f>
        <x:v>46241</x:v>
      </x:c>
      <x:c r="D15" s="71" t="n">
        <x:f>'Workplan'!E14</x:f>
        <x:v>46251</x:v>
      </x:c>
      <x:c r="E15" s="51" t="str">
        <x:f>'Workplan'!G14</x:f>
        <x:v>Complete</x:v>
      </x:c>
      <x:c r="F15" s="72" t="str">
        <x:f>IF(AND(F$4&lt;=$D15,F$4+6&gt;=$C15),IF($E15="Complete",3,IF($E15="In progress",2,1)),"")</x:f>
      </x:c>
      <x:c r="G15" s="72" t="str">
        <x:f>IF(AND(G$4&lt;=$D15,G$4+6&gt;=$C15),IF($E15="Complete",3,IF($E15="In progress",2,1)),"")</x:f>
      </x:c>
      <x:c r="H15" s="72" t="str">
        <x:f>IF(AND(H$4&lt;=$D15,H$4+6&gt;=$C15),IF($E15="Complete",3,IF($E15="In progress",2,1)),"")</x:f>
      </x:c>
      <x:c r="I15" s="72" t="str">
        <x:f>IF(AND(I$4&lt;=$D15,I$4+6&gt;=$C15),IF($E15="Complete",3,IF($E15="In progress",2,1)),"")</x:f>
      </x:c>
      <x:c r="J15" s="72" t="str">
        <x:f>IF(AND(J$4&lt;=$D15,J$4+6&gt;=$C15),IF($E15="Complete",3,IF($E15="In progress",2,1)),"")</x:f>
      </x:c>
      <x:c r="K15" s="72" t="str">
        <x:f>IF(AND(K$4&lt;=$D15,K$4+6&gt;=$C15),IF($E15="Complete",3,IF($E15="In progress",2,1)),"")</x:f>
      </x:c>
      <x:c r="L15" s="72" t="str">
        <x:f>IF(AND(L$4&lt;=$D15,L$4+6&gt;=$C15),IF($E15="Complete",3,IF($E15="In progress",2,1)),"")</x:f>
      </x:c>
      <x:c r="M15" s="72" t="str">
        <x:f>IF(AND(M$4&lt;=$D15,M$4+6&gt;=$C15),IF($E15="Complete",3,IF($E15="In progress",2,1)),"")</x:f>
      </x:c>
      <x:c r="N15" s="72" t="str">
        <x:f>IF(AND(N$4&lt;=$D15,N$4+6&gt;=$C15),IF($E15="Complete",3,IF($E15="In progress",2,1)),"")</x:f>
      </x:c>
      <x:c r="O15" s="72" t="str">
        <x:f>IF(AND(O$4&lt;=$D15,O$4+6&gt;=$C15),IF($E15="Complete",3,IF($E15="In progress",2,1)),"")</x:f>
      </x:c>
      <x:c r="P15" s="72" t="str">
        <x:f>IF(AND(P$4&lt;=$D15,P$4+6&gt;=$C15),IF($E15="Complete",3,IF($E15="In progress",2,1)),"")</x:f>
      </x:c>
      <x:c r="Q15" s="72" t="str">
        <x:f>IF(AND(Q$4&lt;=$D15,Q$4+6&gt;=$C15),IF($E15="Complete",3,IF($E15="In progress",2,1)),"")</x:f>
      </x:c>
      <x:c r="R15" s="72" t="str">
        <x:f>IF(AND(R$4&lt;=$D15,R$4+6&gt;=$C15),IF($E15="Complete",3,IF($E15="In progress",2,1)),"")</x:f>
      </x:c>
      <x:c r="S15" s="72" t="n">
        <x:f>IF(AND(S$4&lt;=$D15,S$4+6&gt;=$C15),IF($E15="Complete",3,IF($E15="In progress",2,1)),"")</x:f>
        <x:v>3</x:v>
      </x:c>
      <x:c r="T15" s="72" t="n">
        <x:f>IF(AND(T$4&lt;=$D15,T$4+6&gt;=$C15),IF($E15="Complete",3,IF($E15="In progress",2,1)),"")</x:f>
        <x:v>3</x:v>
      </x:c>
      <x:c r="U15" s="72" t="n">
        <x:f>IF(AND(U$4&lt;=$D15,U$4+6&gt;=$C15),IF($E15="Complete",3,IF($E15="In progress",2,1)),"")</x:f>
        <x:v>3</x:v>
      </x:c>
      <x:c r="V15" s="72" t="str">
        <x:f>IF(AND(V$4&lt;=$D15,V$4+6&gt;=$C15),IF($E15="Complete",3,IF($E15="In progress",2,1)),"")</x:f>
      </x:c>
      <x:c r="W15" s="72" t="str">
        <x:f>IF(AND(W$4&lt;=$D15,W$4+6&gt;=$C15),IF($E15="Complete",3,IF($E15="In progress",2,1)),"")</x:f>
      </x:c>
      <x:c r="X15" s="72" t="str">
        <x:f>IF(AND(X$4&lt;=$D15,X$4+6&gt;=$C15),IF($E15="Complete",3,IF($E15="In progress",2,1)),"")</x:f>
      </x:c>
      <x:c r="Y15" s="72" t="str">
        <x:f>IF(AND(Y$4&lt;=$D15,Y$4+6&gt;=$C15),IF($E15="Complete",3,IF($E15="In progress",2,1)),"")</x:f>
      </x:c>
      <x:c r="Z15" s="72" t="str">
        <x:f>IF(AND(Z$4&lt;=$D15,Z$4+6&gt;=$C15),IF($E15="Complete",3,IF($E15="In progress",2,1)),"")</x:f>
      </x:c>
      <x:c r="AA15" s="72" t="str">
        <x:f>IF(AND(AA$4&lt;=$D15,AA$4+6&gt;=$C15),IF($E15="Complete",3,IF($E15="In progress",2,1)),"")</x:f>
      </x:c>
    </x:row>
    <x:row r="16" ht="31" customHeight="1">
      <x:c r="A16" s="51" t="str">
        <x:f>'Workplan'!B15</x:f>
        <x:v>Evaluation</x:v>
      </x:c>
      <x:c r="B16" s="51" t="str">
        <x:f>'Workplan'!C15</x:f>
        <x:v>Run automated, replay, robustness and cost-sensitivity tests</x:v>
      </x:c>
      <x:c r="C16" s="71" t="n">
        <x:f>'Workplan'!D15</x:f>
        <x:v>46244</x:v>
      </x:c>
      <x:c r="D16" s="71" t="n">
        <x:f>'Workplan'!E15</x:f>
        <x:v>46251</x:v>
      </x:c>
      <x:c r="E16" s="51" t="str">
        <x:f>'Workplan'!G15</x:f>
        <x:v>Complete</x:v>
      </x:c>
      <x:c r="F16" s="72" t="str">
        <x:f>IF(AND(F$4&lt;=$D16,F$4+6&gt;=$C16),IF($E16="Complete",3,IF($E16="In progress",2,1)),"")</x:f>
      </x:c>
      <x:c r="G16" s="72" t="str">
        <x:f>IF(AND(G$4&lt;=$D16,G$4+6&gt;=$C16),IF($E16="Complete",3,IF($E16="In progress",2,1)),"")</x:f>
      </x:c>
      <x:c r="H16" s="72" t="str">
        <x:f>IF(AND(H$4&lt;=$D16,H$4+6&gt;=$C16),IF($E16="Complete",3,IF($E16="In progress",2,1)),"")</x:f>
      </x:c>
      <x:c r="I16" s="72" t="str">
        <x:f>IF(AND(I$4&lt;=$D16,I$4+6&gt;=$C16),IF($E16="Complete",3,IF($E16="In progress",2,1)),"")</x:f>
      </x:c>
      <x:c r="J16" s="72" t="str">
        <x:f>IF(AND(J$4&lt;=$D16,J$4+6&gt;=$C16),IF($E16="Complete",3,IF($E16="In progress",2,1)),"")</x:f>
      </x:c>
      <x:c r="K16" s="72" t="str">
        <x:f>IF(AND(K$4&lt;=$D16,K$4+6&gt;=$C16),IF($E16="Complete",3,IF($E16="In progress",2,1)),"")</x:f>
      </x:c>
      <x:c r="L16" s="72" t="str">
        <x:f>IF(AND(L$4&lt;=$D16,L$4+6&gt;=$C16),IF($E16="Complete",3,IF($E16="In progress",2,1)),"")</x:f>
      </x:c>
      <x:c r="M16" s="72" t="str">
        <x:f>IF(AND(M$4&lt;=$D16,M$4+6&gt;=$C16),IF($E16="Complete",3,IF($E16="In progress",2,1)),"")</x:f>
      </x:c>
      <x:c r="N16" s="72" t="str">
        <x:f>IF(AND(N$4&lt;=$D16,N$4+6&gt;=$C16),IF($E16="Complete",3,IF($E16="In progress",2,1)),"")</x:f>
      </x:c>
      <x:c r="O16" s="72" t="str">
        <x:f>IF(AND(O$4&lt;=$D16,O$4+6&gt;=$C16),IF($E16="Complete",3,IF($E16="In progress",2,1)),"")</x:f>
      </x:c>
      <x:c r="P16" s="72" t="str">
        <x:f>IF(AND(P$4&lt;=$D16,P$4+6&gt;=$C16),IF($E16="Complete",3,IF($E16="In progress",2,1)),"")</x:f>
      </x:c>
      <x:c r="Q16" s="72" t="str">
        <x:f>IF(AND(Q$4&lt;=$D16,Q$4+6&gt;=$C16),IF($E16="Complete",3,IF($E16="In progress",2,1)),"")</x:f>
      </x:c>
      <x:c r="R16" s="72" t="str">
        <x:f>IF(AND(R$4&lt;=$D16,R$4+6&gt;=$C16),IF($E16="Complete",3,IF($E16="In progress",2,1)),"")</x:f>
      </x:c>
      <x:c r="S16" s="72" t="str">
        <x:f>IF(AND(S$4&lt;=$D16,S$4+6&gt;=$C16),IF($E16="Complete",3,IF($E16="In progress",2,1)),"")</x:f>
      </x:c>
      <x:c r="T16" s="72" t="n">
        <x:f>IF(AND(T$4&lt;=$D16,T$4+6&gt;=$C16),IF($E16="Complete",3,IF($E16="In progress",2,1)),"")</x:f>
        <x:v>3</x:v>
      </x:c>
      <x:c r="U16" s="72" t="n">
        <x:f>IF(AND(U$4&lt;=$D16,U$4+6&gt;=$C16),IF($E16="Complete",3,IF($E16="In progress",2,1)),"")</x:f>
        <x:v>3</x:v>
      </x:c>
      <x:c r="V16" s="72" t="str">
        <x:f>IF(AND(V$4&lt;=$D16,V$4+6&gt;=$C16),IF($E16="Complete",3,IF($E16="In progress",2,1)),"")</x:f>
      </x:c>
      <x:c r="W16" s="72" t="str">
        <x:f>IF(AND(W$4&lt;=$D16,W$4+6&gt;=$C16),IF($E16="Complete",3,IF($E16="In progress",2,1)),"")</x:f>
      </x:c>
      <x:c r="X16" s="72" t="str">
        <x:f>IF(AND(X$4&lt;=$D16,X$4+6&gt;=$C16),IF($E16="Complete",3,IF($E16="In progress",2,1)),"")</x:f>
      </x:c>
      <x:c r="Y16" s="72" t="str">
        <x:f>IF(AND(Y$4&lt;=$D16,Y$4+6&gt;=$C16),IF($E16="Complete",3,IF($E16="In progress",2,1)),"")</x:f>
      </x:c>
      <x:c r="Z16" s="72" t="str">
        <x:f>IF(AND(Z$4&lt;=$D16,Z$4+6&gt;=$C16),IF($E16="Complete",3,IF($E16="In progress",2,1)),"")</x:f>
      </x:c>
      <x:c r="AA16" s="72" t="str">
        <x:f>IF(AND(AA$4&lt;=$D16,AA$4+6&gt;=$C16),IF($E16="Complete",3,IF($E16="In progress",2,1)),"")</x:f>
      </x:c>
    </x:row>
    <x:row r="17" ht="31" customHeight="1">
      <x:c r="A17" s="51" t="str">
        <x:f>'Workplan'!B16</x:f>
        <x:v>User study</x:v>
      </x:c>
      <x:c r="B17" s="51" t="str">
        <x:f>'Workplan'!C16</x:f>
        <x:v>Prepare participant information, signed consent and questionnaire</x:v>
      </x:c>
      <x:c r="C17" s="71" t="n">
        <x:f>'Workplan'!D16</x:f>
        <x:v>46251</x:v>
      </x:c>
      <x:c r="D17" s="71" t="n">
        <x:f>'Workplan'!E16</x:f>
        <x:v>46251</x:v>
      </x:c>
      <x:c r="E17" s="51" t="str">
        <x:f>'Workplan'!G16</x:f>
        <x:v>Complete</x:v>
      </x:c>
      <x:c r="F17" s="72" t="str">
        <x:f>IF(AND(F$4&lt;=$D17,F$4+6&gt;=$C17),IF($E17="Complete",3,IF($E17="In progress",2,1)),"")</x:f>
      </x:c>
      <x:c r="G17" s="72" t="str">
        <x:f>IF(AND(G$4&lt;=$D17,G$4+6&gt;=$C17),IF($E17="Complete",3,IF($E17="In progress",2,1)),"")</x:f>
      </x:c>
      <x:c r="H17" s="72" t="str">
        <x:f>IF(AND(H$4&lt;=$D17,H$4+6&gt;=$C17),IF($E17="Complete",3,IF($E17="In progress",2,1)),"")</x:f>
      </x:c>
      <x:c r="I17" s="72" t="str">
        <x:f>IF(AND(I$4&lt;=$D17,I$4+6&gt;=$C17),IF($E17="Complete",3,IF($E17="In progress",2,1)),"")</x:f>
      </x:c>
      <x:c r="J17" s="72" t="str">
        <x:f>IF(AND(J$4&lt;=$D17,J$4+6&gt;=$C17),IF($E17="Complete",3,IF($E17="In progress",2,1)),"")</x:f>
      </x:c>
      <x:c r="K17" s="72" t="str">
        <x:f>IF(AND(K$4&lt;=$D17,K$4+6&gt;=$C17),IF($E17="Complete",3,IF($E17="In progress",2,1)),"")</x:f>
      </x:c>
      <x:c r="L17" s="72" t="str">
        <x:f>IF(AND(L$4&lt;=$D17,L$4+6&gt;=$C17),IF($E17="Complete",3,IF($E17="In progress",2,1)),"")</x:f>
      </x:c>
      <x:c r="M17" s="72" t="str">
        <x:f>IF(AND(M$4&lt;=$D17,M$4+6&gt;=$C17),IF($E17="Complete",3,IF($E17="In progress",2,1)),"")</x:f>
      </x:c>
      <x:c r="N17" s="72" t="str">
        <x:f>IF(AND(N$4&lt;=$D17,N$4+6&gt;=$C17),IF($E17="Complete",3,IF($E17="In progress",2,1)),"")</x:f>
      </x:c>
      <x:c r="O17" s="72" t="str">
        <x:f>IF(AND(O$4&lt;=$D17,O$4+6&gt;=$C17),IF($E17="Complete",3,IF($E17="In progress",2,1)),"")</x:f>
      </x:c>
      <x:c r="P17" s="72" t="str">
        <x:f>IF(AND(P$4&lt;=$D17,P$4+6&gt;=$C17),IF($E17="Complete",3,IF($E17="In progress",2,1)),"")</x:f>
      </x:c>
      <x:c r="Q17" s="72" t="str">
        <x:f>IF(AND(Q$4&lt;=$D17,Q$4+6&gt;=$C17),IF($E17="Complete",3,IF($E17="In progress",2,1)),"")</x:f>
      </x:c>
      <x:c r="R17" s="72" t="str">
        <x:f>IF(AND(R$4&lt;=$D17,R$4+6&gt;=$C17),IF($E17="Complete",3,IF($E17="In progress",2,1)),"")</x:f>
      </x:c>
      <x:c r="S17" s="72" t="str">
        <x:f>IF(AND(S$4&lt;=$D17,S$4+6&gt;=$C17),IF($E17="Complete",3,IF($E17="In progress",2,1)),"")</x:f>
      </x:c>
      <x:c r="T17" s="72" t="str">
        <x:f>IF(AND(T$4&lt;=$D17,T$4+6&gt;=$C17),IF($E17="Complete",3,IF($E17="In progress",2,1)),"")</x:f>
      </x:c>
      <x:c r="U17" s="72" t="n">
        <x:f>IF(AND(U$4&lt;=$D17,U$4+6&gt;=$C17),IF($E17="Complete",3,IF($E17="In progress",2,1)),"")</x:f>
        <x:v>3</x:v>
      </x:c>
      <x:c r="V17" s="72" t="str">
        <x:f>IF(AND(V$4&lt;=$D17,V$4+6&gt;=$C17),IF($E17="Complete",3,IF($E17="In progress",2,1)),"")</x:f>
      </x:c>
      <x:c r="W17" s="72" t="str">
        <x:f>IF(AND(W$4&lt;=$D17,W$4+6&gt;=$C17),IF($E17="Complete",3,IF($E17="In progress",2,1)),"")</x:f>
      </x:c>
      <x:c r="X17" s="72" t="str">
        <x:f>IF(AND(X$4&lt;=$D17,X$4+6&gt;=$C17),IF($E17="Complete",3,IF($E17="In progress",2,1)),"")</x:f>
      </x:c>
      <x:c r="Y17" s="72" t="str">
        <x:f>IF(AND(Y$4&lt;=$D17,Y$4+6&gt;=$C17),IF($E17="Complete",3,IF($E17="In progress",2,1)),"")</x:f>
      </x:c>
      <x:c r="Z17" s="72" t="str">
        <x:f>IF(AND(Z$4&lt;=$D17,Z$4+6&gt;=$C17),IF($E17="Complete",3,IF($E17="In progress",2,1)),"")</x:f>
      </x:c>
      <x:c r="AA17" s="72" t="str">
        <x:f>IF(AND(AA$4&lt;=$D17,AA$4+6&gt;=$C17),IF($E17="Complete",3,IF($E17="In progress",2,1)),"")</x:f>
      </x:c>
    </x:row>
    <x:row r="18" ht="31" customHeight="1">
      <x:c r="A18" s="51" t="str">
        <x:f>'Workplan'!B17</x:f>
        <x:v>Management</x:v>
      </x:c>
      <x:c r="B18" s="51" t="str">
        <x:f>'Workplan'!C17</x:f>
        <x:v>Create analysis workbook, full workplan and Gantt evidence</x:v>
      </x:c>
      <x:c r="C18" s="71" t="n">
        <x:f>'Workplan'!D17</x:f>
        <x:v>46251</x:v>
      </x:c>
      <x:c r="D18" s="71" t="n">
        <x:f>'Workplan'!E17</x:f>
        <x:v>46253</x:v>
      </x:c>
      <x:c r="E18" s="51" t="str">
        <x:f>'Workplan'!G17</x:f>
        <x:v>Complete</x:v>
      </x:c>
      <x:c r="F18" s="72" t="str">
        <x:f>IF(AND(F$4&lt;=$D18,F$4+6&gt;=$C18),IF($E18="Complete",3,IF($E18="In progress",2,1)),"")</x:f>
      </x:c>
      <x:c r="G18" s="72" t="str">
        <x:f>IF(AND(G$4&lt;=$D18,G$4+6&gt;=$C18),IF($E18="Complete",3,IF($E18="In progress",2,1)),"")</x:f>
      </x:c>
      <x:c r="H18" s="72" t="str">
        <x:f>IF(AND(H$4&lt;=$D18,H$4+6&gt;=$C18),IF($E18="Complete",3,IF($E18="In progress",2,1)),"")</x:f>
      </x:c>
      <x:c r="I18" s="72" t="str">
        <x:f>IF(AND(I$4&lt;=$D18,I$4+6&gt;=$C18),IF($E18="Complete",3,IF($E18="In progress",2,1)),"")</x:f>
      </x:c>
      <x:c r="J18" s="72" t="str">
        <x:f>IF(AND(J$4&lt;=$D18,J$4+6&gt;=$C18),IF($E18="Complete",3,IF($E18="In progress",2,1)),"")</x:f>
      </x:c>
      <x:c r="K18" s="72" t="str">
        <x:f>IF(AND(K$4&lt;=$D18,K$4+6&gt;=$C18),IF($E18="Complete",3,IF($E18="In progress",2,1)),"")</x:f>
      </x:c>
      <x:c r="L18" s="72" t="str">
        <x:f>IF(AND(L$4&lt;=$D18,L$4+6&gt;=$C18),IF($E18="Complete",3,IF($E18="In progress",2,1)),"")</x:f>
      </x:c>
      <x:c r="M18" s="72" t="str">
        <x:f>IF(AND(M$4&lt;=$D18,M$4+6&gt;=$C18),IF($E18="Complete",3,IF($E18="In progress",2,1)),"")</x:f>
      </x:c>
      <x:c r="N18" s="72" t="str">
        <x:f>IF(AND(N$4&lt;=$D18,N$4+6&gt;=$C18),IF($E18="Complete",3,IF($E18="In progress",2,1)),"")</x:f>
      </x:c>
      <x:c r="O18" s="72" t="str">
        <x:f>IF(AND(O$4&lt;=$D18,O$4+6&gt;=$C18),IF($E18="Complete",3,IF($E18="In progress",2,1)),"")</x:f>
      </x:c>
      <x:c r="P18" s="72" t="str">
        <x:f>IF(AND(P$4&lt;=$D18,P$4+6&gt;=$C18),IF($E18="Complete",3,IF($E18="In progress",2,1)),"")</x:f>
      </x:c>
      <x:c r="Q18" s="72" t="str">
        <x:f>IF(AND(Q$4&lt;=$D18,Q$4+6&gt;=$C18),IF($E18="Complete",3,IF($E18="In progress",2,1)),"")</x:f>
      </x:c>
      <x:c r="R18" s="72" t="str">
        <x:f>IF(AND(R$4&lt;=$D18,R$4+6&gt;=$C18),IF($E18="Complete",3,IF($E18="In progress",2,1)),"")</x:f>
      </x:c>
      <x:c r="S18" s="72" t="str">
        <x:f>IF(AND(S$4&lt;=$D18,S$4+6&gt;=$C18),IF($E18="Complete",3,IF($E18="In progress",2,1)),"")</x:f>
      </x:c>
      <x:c r="T18" s="72" t="str">
        <x:f>IF(AND(T$4&lt;=$D18,T$4+6&gt;=$C18),IF($E18="Complete",3,IF($E18="In progress",2,1)),"")</x:f>
      </x:c>
      <x:c r="U18" s="72" t="n">
        <x:f>IF(AND(U$4&lt;=$D18,U$4+6&gt;=$C18),IF($E18="Complete",3,IF($E18="In progress",2,1)),"")</x:f>
        <x:v>3</x:v>
      </x:c>
      <x:c r="V18" s="72" t="str">
        <x:f>IF(AND(V$4&lt;=$D18,V$4+6&gt;=$C18),IF($E18="Complete",3,IF($E18="In progress",2,1)),"")</x:f>
      </x:c>
      <x:c r="W18" s="72" t="str">
        <x:f>IF(AND(W$4&lt;=$D18,W$4+6&gt;=$C18),IF($E18="Complete",3,IF($E18="In progress",2,1)),"")</x:f>
      </x:c>
      <x:c r="X18" s="72" t="str">
        <x:f>IF(AND(X$4&lt;=$D18,X$4+6&gt;=$C18),IF($E18="Complete",3,IF($E18="In progress",2,1)),"")</x:f>
      </x:c>
      <x:c r="Y18" s="72" t="str">
        <x:f>IF(AND(Y$4&lt;=$D18,Y$4+6&gt;=$C18),IF($E18="Complete",3,IF($E18="In progress",2,1)),"")</x:f>
      </x:c>
      <x:c r="Z18" s="72" t="str">
        <x:f>IF(AND(Z$4&lt;=$D18,Z$4+6&gt;=$C18),IF($E18="Complete",3,IF($E18="In progress",2,1)),"")</x:f>
      </x:c>
      <x:c r="AA18" s="72" t="str">
        <x:f>IF(AND(AA$4&lt;=$D18,AA$4+6&gt;=$C18),IF($E18="Complete",3,IF($E18="In progress",2,1)),"")</x:f>
      </x:c>
    </x:row>
    <x:row r="19" ht="31" customHeight="1">
      <x:c r="A19" s="51" t="str">
        <x:f>'Workplan'!B18</x:f>
        <x:v>User study</x:v>
      </x:c>
      <x:c r="B19" s="51" t="str">
        <x:f>'Workplan'!C18</x:f>
        <x:v>Recruit and run 10–15 genuine target-user sessions</x:v>
      </x:c>
      <x:c r="C19" s="71" t="n">
        <x:f>'Workplan'!D18</x:f>
        <x:v>46254</x:v>
      </x:c>
      <x:c r="D19" s="71" t="n">
        <x:f>'Workplan'!E18</x:f>
        <x:v>46268</x:v>
      </x:c>
      <x:c r="E19" s="51" t="str">
        <x:f>'Workplan'!G18</x:f>
        <x:v>Not started</x:v>
      </x:c>
      <x:c r="F19" s="72" t="str">
        <x:f>IF(AND(F$4&lt;=$D19,F$4+6&gt;=$C19),IF($E19="Complete",3,IF($E19="In progress",2,1)),"")</x:f>
      </x:c>
      <x:c r="G19" s="72" t="str">
        <x:f>IF(AND(G$4&lt;=$D19,G$4+6&gt;=$C19),IF($E19="Complete",3,IF($E19="In progress",2,1)),"")</x:f>
      </x:c>
      <x:c r="H19" s="72" t="str">
        <x:f>IF(AND(H$4&lt;=$D19,H$4+6&gt;=$C19),IF($E19="Complete",3,IF($E19="In progress",2,1)),"")</x:f>
      </x:c>
      <x:c r="I19" s="72" t="str">
        <x:f>IF(AND(I$4&lt;=$D19,I$4+6&gt;=$C19),IF($E19="Complete",3,IF($E19="In progress",2,1)),"")</x:f>
      </x:c>
      <x:c r="J19" s="72" t="str">
        <x:f>IF(AND(J$4&lt;=$D19,J$4+6&gt;=$C19),IF($E19="Complete",3,IF($E19="In progress",2,1)),"")</x:f>
      </x:c>
      <x:c r="K19" s="72" t="str">
        <x:f>IF(AND(K$4&lt;=$D19,K$4+6&gt;=$C19),IF($E19="Complete",3,IF($E19="In progress",2,1)),"")</x:f>
      </x:c>
      <x:c r="L19" s="72" t="str">
        <x:f>IF(AND(L$4&lt;=$D19,L$4+6&gt;=$C19),IF($E19="Complete",3,IF($E19="In progress",2,1)),"")</x:f>
      </x:c>
      <x:c r="M19" s="72" t="str">
        <x:f>IF(AND(M$4&lt;=$D19,M$4+6&gt;=$C19),IF($E19="Complete",3,IF($E19="In progress",2,1)),"")</x:f>
      </x:c>
      <x:c r="N19" s="72" t="str">
        <x:f>IF(AND(N$4&lt;=$D19,N$4+6&gt;=$C19),IF($E19="Complete",3,IF($E19="In progress",2,1)),"")</x:f>
      </x:c>
      <x:c r="O19" s="72" t="str">
        <x:f>IF(AND(O$4&lt;=$D19,O$4+6&gt;=$C19),IF($E19="Complete",3,IF($E19="In progress",2,1)),"")</x:f>
      </x:c>
      <x:c r="P19" s="72" t="str">
        <x:f>IF(AND(P$4&lt;=$D19,P$4+6&gt;=$C19),IF($E19="Complete",3,IF($E19="In progress",2,1)),"")</x:f>
      </x:c>
      <x:c r="Q19" s="72" t="str">
        <x:f>IF(AND(Q$4&lt;=$D19,Q$4+6&gt;=$C19),IF($E19="Complete",3,IF($E19="In progress",2,1)),"")</x:f>
      </x:c>
      <x:c r="R19" s="72" t="str">
        <x:f>IF(AND(R$4&lt;=$D19,R$4+6&gt;=$C19),IF($E19="Complete",3,IF($E19="In progress",2,1)),"")</x:f>
      </x:c>
      <x:c r="S19" s="72" t="str">
        <x:f>IF(AND(S$4&lt;=$D19,S$4+6&gt;=$C19),IF($E19="Complete",3,IF($E19="In progress",2,1)),"")</x:f>
      </x:c>
      <x:c r="T19" s="72" t="str">
        <x:f>IF(AND(T$4&lt;=$D19,T$4+6&gt;=$C19),IF($E19="Complete",3,IF($E19="In progress",2,1)),"")</x:f>
      </x:c>
      <x:c r="U19" s="72" t="n">
        <x:f>IF(AND(U$4&lt;=$D19,U$4+6&gt;=$C19),IF($E19="Complete",3,IF($E19="In progress",2,1)),"")</x:f>
        <x:v>1</x:v>
      </x:c>
      <x:c r="V19" s="72" t="n">
        <x:f>IF(AND(V$4&lt;=$D19,V$4+6&gt;=$C19),IF($E19="Complete",3,IF($E19="In progress",2,1)),"")</x:f>
        <x:v>1</x:v>
      </x:c>
      <x:c r="W19" s="72" t="n">
        <x:f>IF(AND(W$4&lt;=$D19,W$4+6&gt;=$C19),IF($E19="Complete",3,IF($E19="In progress",2,1)),"")</x:f>
        <x:v>1</x:v>
      </x:c>
      <x:c r="X19" s="72" t="str">
        <x:f>IF(AND(X$4&lt;=$D19,X$4+6&gt;=$C19),IF($E19="Complete",3,IF($E19="In progress",2,1)),"")</x:f>
      </x:c>
      <x:c r="Y19" s="72" t="str">
        <x:f>IF(AND(Y$4&lt;=$D19,Y$4+6&gt;=$C19),IF($E19="Complete",3,IF($E19="In progress",2,1)),"")</x:f>
      </x:c>
      <x:c r="Z19" s="72" t="str">
        <x:f>IF(AND(Z$4&lt;=$D19,Z$4+6&gt;=$C19),IF($E19="Complete",3,IF($E19="In progress",2,1)),"")</x:f>
      </x:c>
      <x:c r="AA19" s="72" t="str">
        <x:f>IF(AND(AA$4&lt;=$D19,AA$4+6&gt;=$C19),IF($E19="Complete",3,IF($E19="In progress",2,1)),"")</x:f>
      </x:c>
    </x:row>
    <x:row r="20" ht="31" customHeight="1">
      <x:c r="A20" s="51" t="str">
        <x:f>'Workplan'!B19</x:f>
        <x:v>User study</x:v>
      </x:c>
      <x:c r="B20" s="51" t="str">
        <x:f>'Workplan'!C19</x:f>
        <x:v>Analyse responses and implement justified usability improvements</x:v>
      </x:c>
      <x:c r="C20" s="71" t="n">
        <x:f>'Workplan'!D19</x:f>
        <x:v>46269</x:v>
      </x:c>
      <x:c r="D20" s="71" t="n">
        <x:f>'Workplan'!E19</x:f>
        <x:v>46273</x:v>
      </x:c>
      <x:c r="E20" s="51" t="str">
        <x:f>'Workplan'!G19</x:f>
        <x:v>Not started</x:v>
      </x:c>
      <x:c r="F20" s="72" t="str">
        <x:f>IF(AND(F$4&lt;=$D20,F$4+6&gt;=$C20),IF($E20="Complete",3,IF($E20="In progress",2,1)),"")</x:f>
      </x:c>
      <x:c r="G20" s="72" t="str">
        <x:f>IF(AND(G$4&lt;=$D20,G$4+6&gt;=$C20),IF($E20="Complete",3,IF($E20="In progress",2,1)),"")</x:f>
      </x:c>
      <x:c r="H20" s="72" t="str">
        <x:f>IF(AND(H$4&lt;=$D20,H$4+6&gt;=$C20),IF($E20="Complete",3,IF($E20="In progress",2,1)),"")</x:f>
      </x:c>
      <x:c r="I20" s="72" t="str">
        <x:f>IF(AND(I$4&lt;=$D20,I$4+6&gt;=$C20),IF($E20="Complete",3,IF($E20="In progress",2,1)),"")</x:f>
      </x:c>
      <x:c r="J20" s="72" t="str">
        <x:f>IF(AND(J$4&lt;=$D20,J$4+6&gt;=$C20),IF($E20="Complete",3,IF($E20="In progress",2,1)),"")</x:f>
      </x:c>
      <x:c r="K20" s="72" t="str">
        <x:f>IF(AND(K$4&lt;=$D20,K$4+6&gt;=$C20),IF($E20="Complete",3,IF($E20="In progress",2,1)),"")</x:f>
      </x:c>
      <x:c r="L20" s="72" t="str">
        <x:f>IF(AND(L$4&lt;=$D20,L$4+6&gt;=$C20),IF($E20="Complete",3,IF($E20="In progress",2,1)),"")</x:f>
      </x:c>
      <x:c r="M20" s="72" t="str">
        <x:f>IF(AND(M$4&lt;=$D20,M$4+6&gt;=$C20),IF($E20="Complete",3,IF($E20="In progress",2,1)),"")</x:f>
      </x:c>
      <x:c r="N20" s="72" t="str">
        <x:f>IF(AND(N$4&lt;=$D20,N$4+6&gt;=$C20),IF($E20="Complete",3,IF($E20="In progress",2,1)),"")</x:f>
      </x:c>
      <x:c r="O20" s="72" t="str">
        <x:f>IF(AND(O$4&lt;=$D20,O$4+6&gt;=$C20),IF($E20="Complete",3,IF($E20="In progress",2,1)),"")</x:f>
      </x:c>
      <x:c r="P20" s="72" t="str">
        <x:f>IF(AND(P$4&lt;=$D20,P$4+6&gt;=$C20),IF($E20="Complete",3,IF($E20="In progress",2,1)),"")</x:f>
      </x:c>
      <x:c r="Q20" s="72" t="str">
        <x:f>IF(AND(Q$4&lt;=$D20,Q$4+6&gt;=$C20),IF($E20="Complete",3,IF($E20="In progress",2,1)),"")</x:f>
      </x:c>
      <x:c r="R20" s="72" t="str">
        <x:f>IF(AND(R$4&lt;=$D20,R$4+6&gt;=$C20),IF($E20="Complete",3,IF($E20="In progress",2,1)),"")</x:f>
      </x:c>
      <x:c r="S20" s="72" t="str">
        <x:f>IF(AND(S$4&lt;=$D20,S$4+6&gt;=$C20),IF($E20="Complete",3,IF($E20="In progress",2,1)),"")</x:f>
      </x:c>
      <x:c r="T20" s="72" t="str">
        <x:f>IF(AND(T$4&lt;=$D20,T$4+6&gt;=$C20),IF($E20="Complete",3,IF($E20="In progress",2,1)),"")</x:f>
      </x:c>
      <x:c r="U20" s="72" t="str">
        <x:f>IF(AND(U$4&lt;=$D20,U$4+6&gt;=$C20),IF($E20="Complete",3,IF($E20="In progress",2,1)),"")</x:f>
      </x:c>
      <x:c r="V20" s="72" t="str">
        <x:f>IF(AND(V$4&lt;=$D20,V$4+6&gt;=$C20),IF($E20="Complete",3,IF($E20="In progress",2,1)),"")</x:f>
      </x:c>
      <x:c r="W20" s="72" t="n">
        <x:f>IF(AND(W$4&lt;=$D20,W$4+6&gt;=$C20),IF($E20="Complete",3,IF($E20="In progress",2,1)),"")</x:f>
        <x:v>1</x:v>
      </x:c>
      <x:c r="X20" s="72" t="n">
        <x:f>IF(AND(X$4&lt;=$D20,X$4+6&gt;=$C20),IF($E20="Complete",3,IF($E20="In progress",2,1)),"")</x:f>
        <x:v>1</x:v>
      </x:c>
      <x:c r="Y20" s="72" t="str">
        <x:f>IF(AND(Y$4&lt;=$D20,Y$4+6&gt;=$C20),IF($E20="Complete",3,IF($E20="In progress",2,1)),"")</x:f>
      </x:c>
      <x:c r="Z20" s="72" t="str">
        <x:f>IF(AND(Z$4&lt;=$D20,Z$4+6&gt;=$C20),IF($E20="Complete",3,IF($E20="In progress",2,1)),"")</x:f>
      </x:c>
      <x:c r="AA20" s="72" t="str">
        <x:f>IF(AND(AA$4&lt;=$D20,AA$4+6&gt;=$C20),IF($E20="Complete",3,IF($E20="In progress",2,1)),"")</x:f>
      </x:c>
    </x:row>
    <x:row r="21" ht="31" customHeight="1">
      <x:c r="A21" s="51" t="str">
        <x:f>'Workplan'!B20</x:f>
        <x:v>Research</x:v>
      </x:c>
      <x:c r="B21" s="51" t="str">
        <x:f>'Workplan'!C20</x:f>
        <x:v>Strengthen literature comparison and complete citations for facts/visuals</x:v>
      </x:c>
      <x:c r="C21" s="71" t="n">
        <x:f>'Workplan'!D20</x:f>
        <x:v>46254</x:v>
      </x:c>
      <x:c r="D21" s="71" t="n">
        <x:f>'Workplan'!E20</x:f>
        <x:v>46273</x:v>
      </x:c>
      <x:c r="E21" s="51" t="str">
        <x:f>'Workplan'!G20</x:f>
        <x:v>Not started</x:v>
      </x:c>
      <x:c r="F21" s="72" t="str">
        <x:f>IF(AND(F$4&lt;=$D21,F$4+6&gt;=$C21),IF($E21="Complete",3,IF($E21="In progress",2,1)),"")</x:f>
      </x:c>
      <x:c r="G21" s="72" t="str">
        <x:f>IF(AND(G$4&lt;=$D21,G$4+6&gt;=$C21),IF($E21="Complete",3,IF($E21="In progress",2,1)),"")</x:f>
      </x:c>
      <x:c r="H21" s="72" t="str">
        <x:f>IF(AND(H$4&lt;=$D21,H$4+6&gt;=$C21),IF($E21="Complete",3,IF($E21="In progress",2,1)),"")</x:f>
      </x:c>
      <x:c r="I21" s="72" t="str">
        <x:f>IF(AND(I$4&lt;=$D21,I$4+6&gt;=$C21),IF($E21="Complete",3,IF($E21="In progress",2,1)),"")</x:f>
      </x:c>
      <x:c r="J21" s="72" t="str">
        <x:f>IF(AND(J$4&lt;=$D21,J$4+6&gt;=$C21),IF($E21="Complete",3,IF($E21="In progress",2,1)),"")</x:f>
      </x:c>
      <x:c r="K21" s="72" t="str">
        <x:f>IF(AND(K$4&lt;=$D21,K$4+6&gt;=$C21),IF($E21="Complete",3,IF($E21="In progress",2,1)),"")</x:f>
      </x:c>
      <x:c r="L21" s="72" t="str">
        <x:f>IF(AND(L$4&lt;=$D21,L$4+6&gt;=$C21),IF($E21="Complete",3,IF($E21="In progress",2,1)),"")</x:f>
      </x:c>
      <x:c r="M21" s="72" t="str">
        <x:f>IF(AND(M$4&lt;=$D21,M$4+6&gt;=$C21),IF($E21="Complete",3,IF($E21="In progress",2,1)),"")</x:f>
      </x:c>
      <x:c r="N21" s="72" t="str">
        <x:f>IF(AND(N$4&lt;=$D21,N$4+6&gt;=$C21),IF($E21="Complete",3,IF($E21="In progress",2,1)),"")</x:f>
      </x:c>
      <x:c r="O21" s="72" t="str">
        <x:f>IF(AND(O$4&lt;=$D21,O$4+6&gt;=$C21),IF($E21="Complete",3,IF($E21="In progress",2,1)),"")</x:f>
      </x:c>
      <x:c r="P21" s="72" t="str">
        <x:f>IF(AND(P$4&lt;=$D21,P$4+6&gt;=$C21),IF($E21="Complete",3,IF($E21="In progress",2,1)),"")</x:f>
      </x:c>
      <x:c r="Q21" s="72" t="str">
        <x:f>IF(AND(Q$4&lt;=$D21,Q$4+6&gt;=$C21),IF($E21="Complete",3,IF($E21="In progress",2,1)),"")</x:f>
      </x:c>
      <x:c r="R21" s="72" t="str">
        <x:f>IF(AND(R$4&lt;=$D21,R$4+6&gt;=$C21),IF($E21="Complete",3,IF($E21="In progress",2,1)),"")</x:f>
      </x:c>
      <x:c r="S21" s="72" t="str">
        <x:f>IF(AND(S$4&lt;=$D21,S$4+6&gt;=$C21),IF($E21="Complete",3,IF($E21="In progress",2,1)),"")</x:f>
      </x:c>
      <x:c r="T21" s="72" t="str">
        <x:f>IF(AND(T$4&lt;=$D21,T$4+6&gt;=$C21),IF($E21="Complete",3,IF($E21="In progress",2,1)),"")</x:f>
      </x:c>
      <x:c r="U21" s="72" t="n">
        <x:f>IF(AND(U$4&lt;=$D21,U$4+6&gt;=$C21),IF($E21="Complete",3,IF($E21="In progress",2,1)),"")</x:f>
        <x:v>1</x:v>
      </x:c>
      <x:c r="V21" s="72" t="n">
        <x:f>IF(AND(V$4&lt;=$D21,V$4+6&gt;=$C21),IF($E21="Complete",3,IF($E21="In progress",2,1)),"")</x:f>
        <x:v>1</x:v>
      </x:c>
      <x:c r="W21" s="72" t="n">
        <x:f>IF(AND(W$4&lt;=$D21,W$4+6&gt;=$C21),IF($E21="Complete",3,IF($E21="In progress",2,1)),"")</x:f>
        <x:v>1</x:v>
      </x:c>
      <x:c r="X21" s="72" t="n">
        <x:f>IF(AND(X$4&lt;=$D21,X$4+6&gt;=$C21),IF($E21="Complete",3,IF($E21="In progress",2,1)),"")</x:f>
        <x:v>1</x:v>
      </x:c>
      <x:c r="Y21" s="72" t="str">
        <x:f>IF(AND(Y$4&lt;=$D21,Y$4+6&gt;=$C21),IF($E21="Complete",3,IF($E21="In progress",2,1)),"")</x:f>
      </x:c>
      <x:c r="Z21" s="72" t="str">
        <x:f>IF(AND(Z$4&lt;=$D21,Z$4+6&gt;=$C21),IF($E21="Complete",3,IF($E21="In progress",2,1)),"")</x:f>
      </x:c>
      <x:c r="AA21" s="72" t="str">
        <x:f>IF(AND(AA$4&lt;=$D21,AA$4+6&gt;=$C21),IF($E21="Complete",3,IF($E21="In progress",2,1)),"")</x:f>
      </x:c>
    </x:row>
    <x:row r="22" ht="31" customHeight="1">
      <x:c r="A22" s="51" t="str">
        <x:f>'Workplan'!B21</x:f>
        <x:v>Report</x:v>
      </x:c>
      <x:c r="B22" s="51" t="str">
        <x:f>'Workplan'!C21</x:f>
        <x:v>Rewrite methodology, design and implementation chapters</x:v>
      </x:c>
      <x:c r="C22" s="71" t="n">
        <x:f>'Workplan'!D21</x:f>
        <x:v>46266</x:v>
      </x:c>
      <x:c r="D22" s="71" t="n">
        <x:f>'Workplan'!E21</x:f>
        <x:v>46277</x:v>
      </x:c>
      <x:c r="E22" s="51" t="str">
        <x:f>'Workplan'!G21</x:f>
        <x:v>Not started</x:v>
      </x:c>
      <x:c r="F22" s="72" t="str">
        <x:f>IF(AND(F$4&lt;=$D22,F$4+6&gt;=$C22),IF($E22="Complete",3,IF($E22="In progress",2,1)),"")</x:f>
      </x:c>
      <x:c r="G22" s="72" t="str">
        <x:f>IF(AND(G$4&lt;=$D22,G$4+6&gt;=$C22),IF($E22="Complete",3,IF($E22="In progress",2,1)),"")</x:f>
      </x:c>
      <x:c r="H22" s="72" t="str">
        <x:f>IF(AND(H$4&lt;=$D22,H$4+6&gt;=$C22),IF($E22="Complete",3,IF($E22="In progress",2,1)),"")</x:f>
      </x:c>
      <x:c r="I22" s="72" t="str">
        <x:f>IF(AND(I$4&lt;=$D22,I$4+6&gt;=$C22),IF($E22="Complete",3,IF($E22="In progress",2,1)),"")</x:f>
      </x:c>
      <x:c r="J22" s="72" t="str">
        <x:f>IF(AND(J$4&lt;=$D22,J$4+6&gt;=$C22),IF($E22="Complete",3,IF($E22="In progress",2,1)),"")</x:f>
      </x:c>
      <x:c r="K22" s="72" t="str">
        <x:f>IF(AND(K$4&lt;=$D22,K$4+6&gt;=$C22),IF($E22="Complete",3,IF($E22="In progress",2,1)),"")</x:f>
      </x:c>
      <x:c r="L22" s="72" t="str">
        <x:f>IF(AND(L$4&lt;=$D22,L$4+6&gt;=$C22),IF($E22="Complete",3,IF($E22="In progress",2,1)),"")</x:f>
      </x:c>
      <x:c r="M22" s="72" t="str">
        <x:f>IF(AND(M$4&lt;=$D22,M$4+6&gt;=$C22),IF($E22="Complete",3,IF($E22="In progress",2,1)),"")</x:f>
      </x:c>
      <x:c r="N22" s="72" t="str">
        <x:f>IF(AND(N$4&lt;=$D22,N$4+6&gt;=$C22),IF($E22="Complete",3,IF($E22="In progress",2,1)),"")</x:f>
      </x:c>
      <x:c r="O22" s="72" t="str">
        <x:f>IF(AND(O$4&lt;=$D22,O$4+6&gt;=$C22),IF($E22="Complete",3,IF($E22="In progress",2,1)),"")</x:f>
      </x:c>
      <x:c r="P22" s="72" t="str">
        <x:f>IF(AND(P$4&lt;=$D22,P$4+6&gt;=$C22),IF($E22="Complete",3,IF($E22="In progress",2,1)),"")</x:f>
      </x:c>
      <x:c r="Q22" s="72" t="str">
        <x:f>IF(AND(Q$4&lt;=$D22,Q$4+6&gt;=$C22),IF($E22="Complete",3,IF($E22="In progress",2,1)),"")</x:f>
      </x:c>
      <x:c r="R22" s="72" t="str">
        <x:f>IF(AND(R$4&lt;=$D22,R$4+6&gt;=$C22),IF($E22="Complete",3,IF($E22="In progress",2,1)),"")</x:f>
      </x:c>
      <x:c r="S22" s="72" t="str">
        <x:f>IF(AND(S$4&lt;=$D22,S$4+6&gt;=$C22),IF($E22="Complete",3,IF($E22="In progress",2,1)),"")</x:f>
      </x:c>
      <x:c r="T22" s="72" t="str">
        <x:f>IF(AND(T$4&lt;=$D22,T$4+6&gt;=$C22),IF($E22="Complete",3,IF($E22="In progress",2,1)),"")</x:f>
      </x:c>
      <x:c r="U22" s="72" t="str">
        <x:f>IF(AND(U$4&lt;=$D22,U$4+6&gt;=$C22),IF($E22="Complete",3,IF($E22="In progress",2,1)),"")</x:f>
      </x:c>
      <x:c r="V22" s="72" t="str">
        <x:f>IF(AND(V$4&lt;=$D22,V$4+6&gt;=$C22),IF($E22="Complete",3,IF($E22="In progress",2,1)),"")</x:f>
      </x:c>
      <x:c r="W22" s="72" t="n">
        <x:f>IF(AND(W$4&lt;=$D22,W$4+6&gt;=$C22),IF($E22="Complete",3,IF($E22="In progress",2,1)),"")</x:f>
        <x:v>1</x:v>
      </x:c>
      <x:c r="X22" s="72" t="n">
        <x:f>IF(AND(X$4&lt;=$D22,X$4+6&gt;=$C22),IF($E22="Complete",3,IF($E22="In progress",2,1)),"")</x:f>
        <x:v>1</x:v>
      </x:c>
      <x:c r="Y22" s="72" t="str">
        <x:f>IF(AND(Y$4&lt;=$D22,Y$4+6&gt;=$C22),IF($E22="Complete",3,IF($E22="In progress",2,1)),"")</x:f>
      </x:c>
      <x:c r="Z22" s="72" t="str">
        <x:f>IF(AND(Z$4&lt;=$D22,Z$4+6&gt;=$C22),IF($E22="Complete",3,IF($E22="In progress",2,1)),"")</x:f>
      </x:c>
      <x:c r="AA22" s="72" t="str">
        <x:f>IF(AND(AA$4&lt;=$D22,AA$4+6&gt;=$C22),IF($E22="Complete",3,IF($E22="In progress",2,1)),"")</x:f>
      </x:c>
    </x:row>
    <x:row r="23" ht="31" customHeight="1">
      <x:c r="A23" s="51" t="str">
        <x:f>'Workplan'!B22</x:f>
        <x:v>Report</x:v>
      </x:c>
      <x:c r="B23" s="51" t="str">
        <x:f>'Workplan'!C22</x:f>
        <x:v>Write results, evaluation, limitations and future work</x:v>
      </x:c>
      <x:c r="C23" s="71" t="n">
        <x:f>'Workplan'!D22</x:f>
        <x:v>46274</x:v>
      </x:c>
      <x:c r="D23" s="71" t="n">
        <x:f>'Workplan'!E22</x:f>
        <x:v>46282</x:v>
      </x:c>
      <x:c r="E23" s="51" t="str">
        <x:f>'Workplan'!G22</x:f>
        <x:v>Not started</x:v>
      </x:c>
      <x:c r="F23" s="72" t="str">
        <x:f>IF(AND(F$4&lt;=$D23,F$4+6&gt;=$C23),IF($E23="Complete",3,IF($E23="In progress",2,1)),"")</x:f>
      </x:c>
      <x:c r="G23" s="72" t="str">
        <x:f>IF(AND(G$4&lt;=$D23,G$4+6&gt;=$C23),IF($E23="Complete",3,IF($E23="In progress",2,1)),"")</x:f>
      </x:c>
      <x:c r="H23" s="72" t="str">
        <x:f>IF(AND(H$4&lt;=$D23,H$4+6&gt;=$C23),IF($E23="Complete",3,IF($E23="In progress",2,1)),"")</x:f>
      </x:c>
      <x:c r="I23" s="72" t="str">
        <x:f>IF(AND(I$4&lt;=$D23,I$4+6&gt;=$C23),IF($E23="Complete",3,IF($E23="In progress",2,1)),"")</x:f>
      </x:c>
      <x:c r="J23" s="72" t="str">
        <x:f>IF(AND(J$4&lt;=$D23,J$4+6&gt;=$C23),IF($E23="Complete",3,IF($E23="In progress",2,1)),"")</x:f>
      </x:c>
      <x:c r="K23" s="72" t="str">
        <x:f>IF(AND(K$4&lt;=$D23,K$4+6&gt;=$C23),IF($E23="Complete",3,IF($E23="In progress",2,1)),"")</x:f>
      </x:c>
      <x:c r="L23" s="72" t="str">
        <x:f>IF(AND(L$4&lt;=$D23,L$4+6&gt;=$C23),IF($E23="Complete",3,IF($E23="In progress",2,1)),"")</x:f>
      </x:c>
      <x:c r="M23" s="72" t="str">
        <x:f>IF(AND(M$4&lt;=$D23,M$4+6&gt;=$C23),IF($E23="Complete",3,IF($E23="In progress",2,1)),"")</x:f>
      </x:c>
      <x:c r="N23" s="72" t="str">
        <x:f>IF(AND(N$4&lt;=$D23,N$4+6&gt;=$C23),IF($E23="Complete",3,IF($E23="In progress",2,1)),"")</x:f>
      </x:c>
      <x:c r="O23" s="72" t="str">
        <x:f>IF(AND(O$4&lt;=$D23,O$4+6&gt;=$C23),IF($E23="Complete",3,IF($E23="In progress",2,1)),"")</x:f>
      </x:c>
      <x:c r="P23" s="72" t="str">
        <x:f>IF(AND(P$4&lt;=$D23,P$4+6&gt;=$C23),IF($E23="Complete",3,IF($E23="In progress",2,1)),"")</x:f>
      </x:c>
      <x:c r="Q23" s="72" t="str">
        <x:f>IF(AND(Q$4&lt;=$D23,Q$4+6&gt;=$C23),IF($E23="Complete",3,IF($E23="In progress",2,1)),"")</x:f>
      </x:c>
      <x:c r="R23" s="72" t="str">
        <x:f>IF(AND(R$4&lt;=$D23,R$4+6&gt;=$C23),IF($E23="Complete",3,IF($E23="In progress",2,1)),"")</x:f>
      </x:c>
      <x:c r="S23" s="72" t="str">
        <x:f>IF(AND(S$4&lt;=$D23,S$4+6&gt;=$C23),IF($E23="Complete",3,IF($E23="In progress",2,1)),"")</x:f>
      </x:c>
      <x:c r="T23" s="72" t="str">
        <x:f>IF(AND(T$4&lt;=$D23,T$4+6&gt;=$C23),IF($E23="Complete",3,IF($E23="In progress",2,1)),"")</x:f>
      </x:c>
      <x:c r="U23" s="72" t="str">
        <x:f>IF(AND(U$4&lt;=$D23,U$4+6&gt;=$C23),IF($E23="Complete",3,IF($E23="In progress",2,1)),"")</x:f>
      </x:c>
      <x:c r="V23" s="72" t="str">
        <x:f>IF(AND(V$4&lt;=$D23,V$4+6&gt;=$C23),IF($E23="Complete",3,IF($E23="In progress",2,1)),"")</x:f>
      </x:c>
      <x:c r="W23" s="72" t="str">
        <x:f>IF(AND(W$4&lt;=$D23,W$4+6&gt;=$C23),IF($E23="Complete",3,IF($E23="In progress",2,1)),"")</x:f>
      </x:c>
      <x:c r="X23" s="72" t="n">
        <x:f>IF(AND(X$4&lt;=$D23,X$4+6&gt;=$C23),IF($E23="Complete",3,IF($E23="In progress",2,1)),"")</x:f>
        <x:v>1</x:v>
      </x:c>
      <x:c r="Y23" s="72" t="n">
        <x:f>IF(AND(Y$4&lt;=$D23,Y$4+6&gt;=$C23),IF($E23="Complete",3,IF($E23="In progress",2,1)),"")</x:f>
        <x:v>1</x:v>
      </x:c>
      <x:c r="Z23" s="72" t="str">
        <x:f>IF(AND(Z$4&lt;=$D23,Z$4+6&gt;=$C23),IF($E23="Complete",3,IF($E23="In progress",2,1)),"")</x:f>
      </x:c>
      <x:c r="AA23" s="72" t="str">
        <x:f>IF(AND(AA$4&lt;=$D23,AA$4+6&gt;=$C23),IF($E23="Complete",3,IF($E23="In progress",2,1)),"")</x:f>
      </x:c>
    </x:row>
    <x:row r="24" ht="31" customHeight="1">
      <x:c r="A24" s="51" t="str">
        <x:f>'Workplan'!B23</x:f>
        <x:v>Evidence</x:v>
      </x:c>
      <x:c r="B24" s="51" t="str">
        <x:f>'Workplan'!C23</x:f>
        <x:v>Capture final website, LR/RF, testing and MT5 screenshots</x:v>
      </x:c>
      <x:c r="C24" s="71" t="n">
        <x:f>'Workplan'!D23</x:f>
        <x:v>46279</x:v>
      </x:c>
      <x:c r="D24" s="71" t="n">
        <x:f>'Workplan'!E23</x:f>
        <x:v>46283</x:v>
      </x:c>
      <x:c r="E24" s="51" t="str">
        <x:f>'Workplan'!G23</x:f>
        <x:v>Not started</x:v>
      </x:c>
      <x:c r="F24" s="72" t="str">
        <x:f>IF(AND(F$4&lt;=$D24,F$4+6&gt;=$C24),IF($E24="Complete",3,IF($E24="In progress",2,1)),"")</x:f>
      </x:c>
      <x:c r="G24" s="72" t="str">
        <x:f>IF(AND(G$4&lt;=$D24,G$4+6&gt;=$C24),IF($E24="Complete",3,IF($E24="In progress",2,1)),"")</x:f>
      </x:c>
      <x:c r="H24" s="72" t="str">
        <x:f>IF(AND(H$4&lt;=$D24,H$4+6&gt;=$C24),IF($E24="Complete",3,IF($E24="In progress",2,1)),"")</x:f>
      </x:c>
      <x:c r="I24" s="72" t="str">
        <x:f>IF(AND(I$4&lt;=$D24,I$4+6&gt;=$C24),IF($E24="Complete",3,IF($E24="In progress",2,1)),"")</x:f>
      </x:c>
      <x:c r="J24" s="72" t="str">
        <x:f>IF(AND(J$4&lt;=$D24,J$4+6&gt;=$C24),IF($E24="Complete",3,IF($E24="In progress",2,1)),"")</x:f>
      </x:c>
      <x:c r="K24" s="72" t="str">
        <x:f>IF(AND(K$4&lt;=$D24,K$4+6&gt;=$C24),IF($E24="Complete",3,IF($E24="In progress",2,1)),"")</x:f>
      </x:c>
      <x:c r="L24" s="72" t="str">
        <x:f>IF(AND(L$4&lt;=$D24,L$4+6&gt;=$C24),IF($E24="Complete",3,IF($E24="In progress",2,1)),"")</x:f>
      </x:c>
      <x:c r="M24" s="72" t="str">
        <x:f>IF(AND(M$4&lt;=$D24,M$4+6&gt;=$C24),IF($E24="Complete",3,IF($E24="In progress",2,1)),"")</x:f>
      </x:c>
      <x:c r="N24" s="72" t="str">
        <x:f>IF(AND(N$4&lt;=$D24,N$4+6&gt;=$C24),IF($E24="Complete",3,IF($E24="In progress",2,1)),"")</x:f>
      </x:c>
      <x:c r="O24" s="72" t="str">
        <x:f>IF(AND(O$4&lt;=$D24,O$4+6&gt;=$C24),IF($E24="Complete",3,IF($E24="In progress",2,1)),"")</x:f>
      </x:c>
      <x:c r="P24" s="72" t="str">
        <x:f>IF(AND(P$4&lt;=$D24,P$4+6&gt;=$C24),IF($E24="Complete",3,IF($E24="In progress",2,1)),"")</x:f>
      </x:c>
      <x:c r="Q24" s="72" t="str">
        <x:f>IF(AND(Q$4&lt;=$D24,Q$4+6&gt;=$C24),IF($E24="Complete",3,IF($E24="In progress",2,1)),"")</x:f>
      </x:c>
      <x:c r="R24" s="72" t="str">
        <x:f>IF(AND(R$4&lt;=$D24,R$4+6&gt;=$C24),IF($E24="Complete",3,IF($E24="In progress",2,1)),"")</x:f>
      </x:c>
      <x:c r="S24" s="72" t="str">
        <x:f>IF(AND(S$4&lt;=$D24,S$4+6&gt;=$C24),IF($E24="Complete",3,IF($E24="In progress",2,1)),"")</x:f>
      </x:c>
      <x:c r="T24" s="72" t="str">
        <x:f>IF(AND(T$4&lt;=$D24,T$4+6&gt;=$C24),IF($E24="Complete",3,IF($E24="In progress",2,1)),"")</x:f>
      </x:c>
      <x:c r="U24" s="72" t="str">
        <x:f>IF(AND(U$4&lt;=$D24,U$4+6&gt;=$C24),IF($E24="Complete",3,IF($E24="In progress",2,1)),"")</x:f>
      </x:c>
      <x:c r="V24" s="72" t="str">
        <x:f>IF(AND(V$4&lt;=$D24,V$4+6&gt;=$C24),IF($E24="Complete",3,IF($E24="In progress",2,1)),"")</x:f>
      </x:c>
      <x:c r="W24" s="72" t="str">
        <x:f>IF(AND(W$4&lt;=$D24,W$4+6&gt;=$C24),IF($E24="Complete",3,IF($E24="In progress",2,1)),"")</x:f>
      </x:c>
      <x:c r="X24" s="72" t="str">
        <x:f>IF(AND(X$4&lt;=$D24,X$4+6&gt;=$C24),IF($E24="Complete",3,IF($E24="In progress",2,1)),"")</x:f>
      </x:c>
      <x:c r="Y24" s="72" t="n">
        <x:f>IF(AND(Y$4&lt;=$D24,Y$4+6&gt;=$C24),IF($E24="Complete",3,IF($E24="In progress",2,1)),"")</x:f>
        <x:v>1</x:v>
      </x:c>
      <x:c r="Z24" s="72" t="str">
        <x:f>IF(AND(Z$4&lt;=$D24,Z$4+6&gt;=$C24),IF($E24="Complete",3,IF($E24="In progress",2,1)),"")</x:f>
      </x:c>
      <x:c r="AA24" s="72" t="str">
        <x:f>IF(AND(AA$4&lt;=$D24,AA$4+6&gt;=$C24),IF($E24="Complete",3,IF($E24="In progress",2,1)),"")</x:f>
      </x:c>
    </x:row>
    <x:row r="25" ht="31" customHeight="1">
      <x:c r="A25" s="51" t="str">
        <x:f>'Workplan'!B24</x:f>
        <x:v>Demonstration</x:v>
      </x:c>
      <x:c r="B25" s="51" t="str">
        <x:f>'Workplan'!C24</x:f>
        <x:v>Script, record and edit the required 3–5 minute MP4</x:v>
      </x:c>
      <x:c r="C25" s="71" t="n">
        <x:f>'Workplan'!D24</x:f>
        <x:v>46281</x:v>
      </x:c>
      <x:c r="D25" s="71" t="n">
        <x:f>'Workplan'!E24</x:f>
        <x:v>46286</x:v>
      </x:c>
      <x:c r="E25" s="51" t="str">
        <x:f>'Workplan'!G24</x:f>
        <x:v>Not started</x:v>
      </x:c>
      <x:c r="F25" s="72" t="str">
        <x:f>IF(AND(F$4&lt;=$D25,F$4+6&gt;=$C25),IF($E25="Complete",3,IF($E25="In progress",2,1)),"")</x:f>
      </x:c>
      <x:c r="G25" s="72" t="str">
        <x:f>IF(AND(G$4&lt;=$D25,G$4+6&gt;=$C25),IF($E25="Complete",3,IF($E25="In progress",2,1)),"")</x:f>
      </x:c>
      <x:c r="H25" s="72" t="str">
        <x:f>IF(AND(H$4&lt;=$D25,H$4+6&gt;=$C25),IF($E25="Complete",3,IF($E25="In progress",2,1)),"")</x:f>
      </x:c>
      <x:c r="I25" s="72" t="str">
        <x:f>IF(AND(I$4&lt;=$D25,I$4+6&gt;=$C25),IF($E25="Complete",3,IF($E25="In progress",2,1)),"")</x:f>
      </x:c>
      <x:c r="J25" s="72" t="str">
        <x:f>IF(AND(J$4&lt;=$D25,J$4+6&gt;=$C25),IF($E25="Complete",3,IF($E25="In progress",2,1)),"")</x:f>
      </x:c>
      <x:c r="K25" s="72" t="str">
        <x:f>IF(AND(K$4&lt;=$D25,K$4+6&gt;=$C25),IF($E25="Complete",3,IF($E25="In progress",2,1)),"")</x:f>
      </x:c>
      <x:c r="L25" s="72" t="str">
        <x:f>IF(AND(L$4&lt;=$D25,L$4+6&gt;=$C25),IF($E25="Complete",3,IF($E25="In progress",2,1)),"")</x:f>
      </x:c>
      <x:c r="M25" s="72" t="str">
        <x:f>IF(AND(M$4&lt;=$D25,M$4+6&gt;=$C25),IF($E25="Complete",3,IF($E25="In progress",2,1)),"")</x:f>
      </x:c>
      <x:c r="N25" s="72" t="str">
        <x:f>IF(AND(N$4&lt;=$D25,N$4+6&gt;=$C25),IF($E25="Complete",3,IF($E25="In progress",2,1)),"")</x:f>
      </x:c>
      <x:c r="O25" s="72" t="str">
        <x:f>IF(AND(O$4&lt;=$D25,O$4+6&gt;=$C25),IF($E25="Complete",3,IF($E25="In progress",2,1)),"")</x:f>
      </x:c>
      <x:c r="P25" s="72" t="str">
        <x:f>IF(AND(P$4&lt;=$D25,P$4+6&gt;=$C25),IF($E25="Complete",3,IF($E25="In progress",2,1)),"")</x:f>
      </x:c>
      <x:c r="Q25" s="72" t="str">
        <x:f>IF(AND(Q$4&lt;=$D25,Q$4+6&gt;=$C25),IF($E25="Complete",3,IF($E25="In progress",2,1)),"")</x:f>
      </x:c>
      <x:c r="R25" s="72" t="str">
        <x:f>IF(AND(R$4&lt;=$D25,R$4+6&gt;=$C25),IF($E25="Complete",3,IF($E25="In progress",2,1)),"")</x:f>
      </x:c>
      <x:c r="S25" s="72" t="str">
        <x:f>IF(AND(S$4&lt;=$D25,S$4+6&gt;=$C25),IF($E25="Complete",3,IF($E25="In progress",2,1)),"")</x:f>
      </x:c>
      <x:c r="T25" s="72" t="str">
        <x:f>IF(AND(T$4&lt;=$D25,T$4+6&gt;=$C25),IF($E25="Complete",3,IF($E25="In progress",2,1)),"")</x:f>
      </x:c>
      <x:c r="U25" s="72" t="str">
        <x:f>IF(AND(U$4&lt;=$D25,U$4+6&gt;=$C25),IF($E25="Complete",3,IF($E25="In progress",2,1)),"")</x:f>
      </x:c>
      <x:c r="V25" s="72" t="str">
        <x:f>IF(AND(V$4&lt;=$D25,V$4+6&gt;=$C25),IF($E25="Complete",3,IF($E25="In progress",2,1)),"")</x:f>
      </x:c>
      <x:c r="W25" s="72" t="str">
        <x:f>IF(AND(W$4&lt;=$D25,W$4+6&gt;=$C25),IF($E25="Complete",3,IF($E25="In progress",2,1)),"")</x:f>
      </x:c>
      <x:c r="X25" s="72" t="str">
        <x:f>IF(AND(X$4&lt;=$D25,X$4+6&gt;=$C25),IF($E25="Complete",3,IF($E25="In progress",2,1)),"")</x:f>
      </x:c>
      <x:c r="Y25" s="72" t="n">
        <x:f>IF(AND(Y$4&lt;=$D25,Y$4+6&gt;=$C25),IF($E25="Complete",3,IF($E25="In progress",2,1)),"")</x:f>
        <x:v>1</x:v>
      </x:c>
      <x:c r="Z25" s="72" t="n">
        <x:f>IF(AND(Z$4&lt;=$D25,Z$4+6&gt;=$C25),IF($E25="Complete",3,IF($E25="In progress",2,1)),"")</x:f>
        <x:v>1</x:v>
      </x:c>
      <x:c r="AA25" s="72" t="str">
        <x:f>IF(AND(AA$4&lt;=$D25,AA$4+6&gt;=$C25),IF($E25="Complete",3,IF($E25="In progress",2,1)),"")</x:f>
      </x:c>
    </x:row>
    <x:row r="26" ht="31" customHeight="1">
      <x:c r="A26" s="51" t="str">
        <x:f>'Workplan'!B25</x:f>
        <x:v>Quality</x:v>
      </x:c>
      <x:c r="B26" s="51" t="str">
        <x:f>'Workplan'!C25</x:f>
        <x:v>Run report QA: references, word count, coherence and rubric mapping</x:v>
      </x:c>
      <x:c r="C26" s="71" t="n">
        <x:f>'Workplan'!D25</x:f>
        <x:v>46284</x:v>
      </x:c>
      <x:c r="D26" s="71" t="n">
        <x:f>'Workplan'!E25</x:f>
        <x:v>46288</x:v>
      </x:c>
      <x:c r="E26" s="51" t="str">
        <x:f>'Workplan'!G25</x:f>
        <x:v>Not started</x:v>
      </x:c>
      <x:c r="F26" s="72" t="str">
        <x:f>IF(AND(F$4&lt;=$D26,F$4+6&gt;=$C26),IF($E26="Complete",3,IF($E26="In progress",2,1)),"")</x:f>
      </x:c>
      <x:c r="G26" s="72" t="str">
        <x:f>IF(AND(G$4&lt;=$D26,G$4+6&gt;=$C26),IF($E26="Complete",3,IF($E26="In progress",2,1)),"")</x:f>
      </x:c>
      <x:c r="H26" s="72" t="str">
        <x:f>IF(AND(H$4&lt;=$D26,H$4+6&gt;=$C26),IF($E26="Complete",3,IF($E26="In progress",2,1)),"")</x:f>
      </x:c>
      <x:c r="I26" s="72" t="str">
        <x:f>IF(AND(I$4&lt;=$D26,I$4+6&gt;=$C26),IF($E26="Complete",3,IF($E26="In progress",2,1)),"")</x:f>
      </x:c>
      <x:c r="J26" s="72" t="str">
        <x:f>IF(AND(J$4&lt;=$D26,J$4+6&gt;=$C26),IF($E26="Complete",3,IF($E26="In progress",2,1)),"")</x:f>
      </x:c>
      <x:c r="K26" s="72" t="str">
        <x:f>IF(AND(K$4&lt;=$D26,K$4+6&gt;=$C26),IF($E26="Complete",3,IF($E26="In progress",2,1)),"")</x:f>
      </x:c>
      <x:c r="L26" s="72" t="str">
        <x:f>IF(AND(L$4&lt;=$D26,L$4+6&gt;=$C26),IF($E26="Complete",3,IF($E26="In progress",2,1)),"")</x:f>
      </x:c>
      <x:c r="M26" s="72" t="str">
        <x:f>IF(AND(M$4&lt;=$D26,M$4+6&gt;=$C26),IF($E26="Complete",3,IF($E26="In progress",2,1)),"")</x:f>
      </x:c>
      <x:c r="N26" s="72" t="str">
        <x:f>IF(AND(N$4&lt;=$D26,N$4+6&gt;=$C26),IF($E26="Complete",3,IF($E26="In progress",2,1)),"")</x:f>
      </x:c>
      <x:c r="O26" s="72" t="str">
        <x:f>IF(AND(O$4&lt;=$D26,O$4+6&gt;=$C26),IF($E26="Complete",3,IF($E26="In progress",2,1)),"")</x:f>
      </x:c>
      <x:c r="P26" s="72" t="str">
        <x:f>IF(AND(P$4&lt;=$D26,P$4+6&gt;=$C26),IF($E26="Complete",3,IF($E26="In progress",2,1)),"")</x:f>
      </x:c>
      <x:c r="Q26" s="72" t="str">
        <x:f>IF(AND(Q$4&lt;=$D26,Q$4+6&gt;=$C26),IF($E26="Complete",3,IF($E26="In progress",2,1)),"")</x:f>
      </x:c>
      <x:c r="R26" s="72" t="str">
        <x:f>IF(AND(R$4&lt;=$D26,R$4+6&gt;=$C26),IF($E26="Complete",3,IF($E26="In progress",2,1)),"")</x:f>
      </x:c>
      <x:c r="S26" s="72" t="str">
        <x:f>IF(AND(S$4&lt;=$D26,S$4+6&gt;=$C26),IF($E26="Complete",3,IF($E26="In progress",2,1)),"")</x:f>
      </x:c>
      <x:c r="T26" s="72" t="str">
        <x:f>IF(AND(T$4&lt;=$D26,T$4+6&gt;=$C26),IF($E26="Complete",3,IF($E26="In progress",2,1)),"")</x:f>
      </x:c>
      <x:c r="U26" s="72" t="str">
        <x:f>IF(AND(U$4&lt;=$D26,U$4+6&gt;=$C26),IF($E26="Complete",3,IF($E26="In progress",2,1)),"")</x:f>
      </x:c>
      <x:c r="V26" s="72" t="str">
        <x:f>IF(AND(V$4&lt;=$D26,V$4+6&gt;=$C26),IF($E26="Complete",3,IF($E26="In progress",2,1)),"")</x:f>
      </x:c>
      <x:c r="W26" s="72" t="str">
        <x:f>IF(AND(W$4&lt;=$D26,W$4+6&gt;=$C26),IF($E26="Complete",3,IF($E26="In progress",2,1)),"")</x:f>
      </x:c>
      <x:c r="X26" s="72" t="str">
        <x:f>IF(AND(X$4&lt;=$D26,X$4+6&gt;=$C26),IF($E26="Complete",3,IF($E26="In progress",2,1)),"")</x:f>
      </x:c>
      <x:c r="Y26" s="72" t="n">
        <x:f>IF(AND(Y$4&lt;=$D26,Y$4+6&gt;=$C26),IF($E26="Complete",3,IF($E26="In progress",2,1)),"")</x:f>
        <x:v>1</x:v>
      </x:c>
      <x:c r="Z26" s="72" t="n">
        <x:f>IF(AND(Z$4&lt;=$D26,Z$4+6&gt;=$C26),IF($E26="Complete",3,IF($E26="In progress",2,1)),"")</x:f>
        <x:v>1</x:v>
      </x:c>
      <x:c r="AA26" s="72" t="str">
        <x:f>IF(AND(AA$4&lt;=$D26,AA$4+6&gt;=$C26),IF($E26="Complete",3,IF($E26="In progress",2,1)),"")</x:f>
      </x:c>
    </x:row>
    <x:row r="27" ht="31" customHeight="1">
      <x:c r="A27" s="51" t="str">
        <x:f>'Workplan'!B26</x:f>
        <x:v>Quality</x:v>
      </x:c>
      <x:c r="B27" s="51" t="str">
        <x:f>'Workplan'!C26</x:f>
        <x:v>Apply final supervisor/teacher feedback</x:v>
      </x:c>
      <x:c r="C27" s="71" t="n">
        <x:f>'Workplan'!D26</x:f>
        <x:v>46289</x:v>
      </x:c>
      <x:c r="D27" s="71" t="n">
        <x:f>'Workplan'!E26</x:f>
        <x:v>46290</x:v>
      </x:c>
      <x:c r="E27" s="51" t="str">
        <x:f>'Workplan'!G26</x:f>
        <x:v>Not started</x:v>
      </x:c>
      <x:c r="F27" s="72" t="str">
        <x:f>IF(AND(F$4&lt;=$D27,F$4+6&gt;=$C27),IF($E27="Complete",3,IF($E27="In progress",2,1)),"")</x:f>
      </x:c>
      <x:c r="G27" s="72" t="str">
        <x:f>IF(AND(G$4&lt;=$D27,G$4+6&gt;=$C27),IF($E27="Complete",3,IF($E27="In progress",2,1)),"")</x:f>
      </x:c>
      <x:c r="H27" s="72" t="str">
        <x:f>IF(AND(H$4&lt;=$D27,H$4+6&gt;=$C27),IF($E27="Complete",3,IF($E27="In progress",2,1)),"")</x:f>
      </x:c>
      <x:c r="I27" s="72" t="str">
        <x:f>IF(AND(I$4&lt;=$D27,I$4+6&gt;=$C27),IF($E27="Complete",3,IF($E27="In progress",2,1)),"")</x:f>
      </x:c>
      <x:c r="J27" s="72" t="str">
        <x:f>IF(AND(J$4&lt;=$D27,J$4+6&gt;=$C27),IF($E27="Complete",3,IF($E27="In progress",2,1)),"")</x:f>
      </x:c>
      <x:c r="K27" s="72" t="str">
        <x:f>IF(AND(K$4&lt;=$D27,K$4+6&gt;=$C27),IF($E27="Complete",3,IF($E27="In progress",2,1)),"")</x:f>
      </x:c>
      <x:c r="L27" s="72" t="str">
        <x:f>IF(AND(L$4&lt;=$D27,L$4+6&gt;=$C27),IF($E27="Complete",3,IF($E27="In progress",2,1)),"")</x:f>
      </x:c>
      <x:c r="M27" s="72" t="str">
        <x:f>IF(AND(M$4&lt;=$D27,M$4+6&gt;=$C27),IF($E27="Complete",3,IF($E27="In progress",2,1)),"")</x:f>
      </x:c>
      <x:c r="N27" s="72" t="str">
        <x:f>IF(AND(N$4&lt;=$D27,N$4+6&gt;=$C27),IF($E27="Complete",3,IF($E27="In progress",2,1)),"")</x:f>
      </x:c>
      <x:c r="O27" s="72" t="str">
        <x:f>IF(AND(O$4&lt;=$D27,O$4+6&gt;=$C27),IF($E27="Complete",3,IF($E27="In progress",2,1)),"")</x:f>
      </x:c>
      <x:c r="P27" s="72" t="str">
        <x:f>IF(AND(P$4&lt;=$D27,P$4+6&gt;=$C27),IF($E27="Complete",3,IF($E27="In progress",2,1)),"")</x:f>
      </x:c>
      <x:c r="Q27" s="72" t="str">
        <x:f>IF(AND(Q$4&lt;=$D27,Q$4+6&gt;=$C27),IF($E27="Complete",3,IF($E27="In progress",2,1)),"")</x:f>
      </x:c>
      <x:c r="R27" s="72" t="str">
        <x:f>IF(AND(R$4&lt;=$D27,R$4+6&gt;=$C27),IF($E27="Complete",3,IF($E27="In progress",2,1)),"")</x:f>
      </x:c>
      <x:c r="S27" s="72" t="str">
        <x:f>IF(AND(S$4&lt;=$D27,S$4+6&gt;=$C27),IF($E27="Complete",3,IF($E27="In progress",2,1)),"")</x:f>
      </x:c>
      <x:c r="T27" s="72" t="str">
        <x:f>IF(AND(T$4&lt;=$D27,T$4+6&gt;=$C27),IF($E27="Complete",3,IF($E27="In progress",2,1)),"")</x:f>
      </x:c>
      <x:c r="U27" s="72" t="str">
        <x:f>IF(AND(U$4&lt;=$D27,U$4+6&gt;=$C27),IF($E27="Complete",3,IF($E27="In progress",2,1)),"")</x:f>
      </x:c>
      <x:c r="V27" s="72" t="str">
        <x:f>IF(AND(V$4&lt;=$D27,V$4+6&gt;=$C27),IF($E27="Complete",3,IF($E27="In progress",2,1)),"")</x:f>
      </x:c>
      <x:c r="W27" s="72" t="str">
        <x:f>IF(AND(W$4&lt;=$D27,W$4+6&gt;=$C27),IF($E27="Complete",3,IF($E27="In progress",2,1)),"")</x:f>
      </x:c>
      <x:c r="X27" s="72" t="str">
        <x:f>IF(AND(X$4&lt;=$D27,X$4+6&gt;=$C27),IF($E27="Complete",3,IF($E27="In progress",2,1)),"")</x:f>
      </x:c>
      <x:c r="Y27" s="72" t="str">
        <x:f>IF(AND(Y$4&lt;=$D27,Y$4+6&gt;=$C27),IF($E27="Complete",3,IF($E27="In progress",2,1)),"")</x:f>
      </x:c>
      <x:c r="Z27" s="72" t="n">
        <x:f>IF(AND(Z$4&lt;=$D27,Z$4+6&gt;=$C27),IF($E27="Complete",3,IF($E27="In progress",2,1)),"")</x:f>
        <x:v>1</x:v>
      </x:c>
      <x:c r="AA27" s="72" t="str">
        <x:f>IF(AND(AA$4&lt;=$D27,AA$4+6&gt;=$C27),IF($E27="Complete",3,IF($E27="In progress",2,1)),"")</x:f>
      </x:c>
    </x:row>
    <x:row r="28" ht="31" customHeight="1">
      <x:c r="A28" s="51" t="str">
        <x:f>'Workplan'!B27</x:f>
        <x:v>Submission</x:v>
      </x:c>
      <x:c r="B28" s="51" t="str">
        <x:f>'Workplan'!C27</x:f>
        <x:v>Package report, MP4, workplan, code and backups</x:v>
      </x:c>
      <x:c r="C28" s="71" t="n">
        <x:f>'Workplan'!D27</x:f>
        <x:v>46291</x:v>
      </x:c>
      <x:c r="D28" s="71" t="n">
        <x:f>'Workplan'!E27</x:f>
        <x:v>46292</x:v>
      </x:c>
      <x:c r="E28" s="51" t="str">
        <x:f>'Workplan'!G27</x:f>
        <x:v>Not started</x:v>
      </x:c>
      <x:c r="F28" s="72" t="str">
        <x:f>IF(AND(F$4&lt;=$D28,F$4+6&gt;=$C28),IF($E28="Complete",3,IF($E28="In progress",2,1)),"")</x:f>
      </x:c>
      <x:c r="G28" s="72" t="str">
        <x:f>IF(AND(G$4&lt;=$D28,G$4+6&gt;=$C28),IF($E28="Complete",3,IF($E28="In progress",2,1)),"")</x:f>
      </x:c>
      <x:c r="H28" s="72" t="str">
        <x:f>IF(AND(H$4&lt;=$D28,H$4+6&gt;=$C28),IF($E28="Complete",3,IF($E28="In progress",2,1)),"")</x:f>
      </x:c>
      <x:c r="I28" s="72" t="str">
        <x:f>IF(AND(I$4&lt;=$D28,I$4+6&gt;=$C28),IF($E28="Complete",3,IF($E28="In progress",2,1)),"")</x:f>
      </x:c>
      <x:c r="J28" s="72" t="str">
        <x:f>IF(AND(J$4&lt;=$D28,J$4+6&gt;=$C28),IF($E28="Complete",3,IF($E28="In progress",2,1)),"")</x:f>
      </x:c>
      <x:c r="K28" s="72" t="str">
        <x:f>IF(AND(K$4&lt;=$D28,K$4+6&gt;=$C28),IF($E28="Complete",3,IF($E28="In progress",2,1)),"")</x:f>
      </x:c>
      <x:c r="L28" s="72" t="str">
        <x:f>IF(AND(L$4&lt;=$D28,L$4+6&gt;=$C28),IF($E28="Complete",3,IF($E28="In progress",2,1)),"")</x:f>
      </x:c>
      <x:c r="M28" s="72" t="str">
        <x:f>IF(AND(M$4&lt;=$D28,M$4+6&gt;=$C28),IF($E28="Complete",3,IF($E28="In progress",2,1)),"")</x:f>
      </x:c>
      <x:c r="N28" s="72" t="str">
        <x:f>IF(AND(N$4&lt;=$D28,N$4+6&gt;=$C28),IF($E28="Complete",3,IF($E28="In progress",2,1)),"")</x:f>
      </x:c>
      <x:c r="O28" s="72" t="str">
        <x:f>IF(AND(O$4&lt;=$D28,O$4+6&gt;=$C28),IF($E28="Complete",3,IF($E28="In progress",2,1)),"")</x:f>
      </x:c>
      <x:c r="P28" s="72" t="str">
        <x:f>IF(AND(P$4&lt;=$D28,P$4+6&gt;=$C28),IF($E28="Complete",3,IF($E28="In progress",2,1)),"")</x:f>
      </x:c>
      <x:c r="Q28" s="72" t="str">
        <x:f>IF(AND(Q$4&lt;=$D28,Q$4+6&gt;=$C28),IF($E28="Complete",3,IF($E28="In progress",2,1)),"")</x:f>
      </x:c>
      <x:c r="R28" s="72" t="str">
        <x:f>IF(AND(R$4&lt;=$D28,R$4+6&gt;=$C28),IF($E28="Complete",3,IF($E28="In progress",2,1)),"")</x:f>
      </x:c>
      <x:c r="S28" s="72" t="str">
        <x:f>IF(AND(S$4&lt;=$D28,S$4+6&gt;=$C28),IF($E28="Complete",3,IF($E28="In progress",2,1)),"")</x:f>
      </x:c>
      <x:c r="T28" s="72" t="str">
        <x:f>IF(AND(T$4&lt;=$D28,T$4+6&gt;=$C28),IF($E28="Complete",3,IF($E28="In progress",2,1)),"")</x:f>
      </x:c>
      <x:c r="U28" s="72" t="str">
        <x:f>IF(AND(U$4&lt;=$D28,U$4+6&gt;=$C28),IF($E28="Complete",3,IF($E28="In progress",2,1)),"")</x:f>
      </x:c>
      <x:c r="V28" s="72" t="str">
        <x:f>IF(AND(V$4&lt;=$D28,V$4+6&gt;=$C28),IF($E28="Complete",3,IF($E28="In progress",2,1)),"")</x:f>
      </x:c>
      <x:c r="W28" s="72" t="str">
        <x:f>IF(AND(W$4&lt;=$D28,W$4+6&gt;=$C28),IF($E28="Complete",3,IF($E28="In progress",2,1)),"")</x:f>
      </x:c>
      <x:c r="X28" s="72" t="str">
        <x:f>IF(AND(X$4&lt;=$D28,X$4+6&gt;=$C28),IF($E28="Complete",3,IF($E28="In progress",2,1)),"")</x:f>
      </x:c>
      <x:c r="Y28" s="72" t="str">
        <x:f>IF(AND(Y$4&lt;=$D28,Y$4+6&gt;=$C28),IF($E28="Complete",3,IF($E28="In progress",2,1)),"")</x:f>
      </x:c>
      <x:c r="Z28" s="72" t="n">
        <x:f>IF(AND(Z$4&lt;=$D28,Z$4+6&gt;=$C28),IF($E28="Complete",3,IF($E28="In progress",2,1)),"")</x:f>
        <x:v>1</x:v>
      </x:c>
      <x:c r="AA28" s="72" t="str">
        <x:f>IF(AND(AA$4&lt;=$D28,AA$4+6&gt;=$C28),IF($E28="Complete",3,IF($E28="In progress",2,1)),"")</x:f>
      </x:c>
    </x:row>
    <x:row r="29" ht="31" customHeight="1">
      <x:c r="A29" s="55" t="str">
        <x:f>'Workplan'!B28</x:f>
        <x:v>Submission</x:v>
      </x:c>
      <x:c r="B29" s="55" t="str">
        <x:f>'Workplan'!C28</x:f>
        <x:v>Submit final project</x:v>
      </x:c>
      <x:c r="C29" s="73" t="n">
        <x:f>'Workplan'!D28</x:f>
        <x:v>46293</x:v>
      </x:c>
      <x:c r="D29" s="73" t="n">
        <x:f>'Workplan'!E28</x:f>
        <x:v>46293</x:v>
      </x:c>
      <x:c r="E29" s="55" t="str">
        <x:f>'Workplan'!G28</x:f>
        <x:v>Not started</x:v>
      </x:c>
      <x:c r="F29" s="74" t="str">
        <x:f>IF(AND(F$4&lt;=$D29,F$4+6&gt;=$C29),IF($E29="Complete",3,IF($E29="In progress",2,1)),"")</x:f>
      </x:c>
      <x:c r="G29" s="74" t="str">
        <x:f>IF(AND(G$4&lt;=$D29,G$4+6&gt;=$C29),IF($E29="Complete",3,IF($E29="In progress",2,1)),"")</x:f>
      </x:c>
      <x:c r="H29" s="74" t="str">
        <x:f>IF(AND(H$4&lt;=$D29,H$4+6&gt;=$C29),IF($E29="Complete",3,IF($E29="In progress",2,1)),"")</x:f>
      </x:c>
      <x:c r="I29" s="74" t="str">
        <x:f>IF(AND(I$4&lt;=$D29,I$4+6&gt;=$C29),IF($E29="Complete",3,IF($E29="In progress",2,1)),"")</x:f>
      </x:c>
      <x:c r="J29" s="74" t="str">
        <x:f>IF(AND(J$4&lt;=$D29,J$4+6&gt;=$C29),IF($E29="Complete",3,IF($E29="In progress",2,1)),"")</x:f>
      </x:c>
      <x:c r="K29" s="74" t="str">
        <x:f>IF(AND(K$4&lt;=$D29,K$4+6&gt;=$C29),IF($E29="Complete",3,IF($E29="In progress",2,1)),"")</x:f>
      </x:c>
      <x:c r="L29" s="74" t="str">
        <x:f>IF(AND(L$4&lt;=$D29,L$4+6&gt;=$C29),IF($E29="Complete",3,IF($E29="In progress",2,1)),"")</x:f>
      </x:c>
      <x:c r="M29" s="74" t="str">
        <x:f>IF(AND(M$4&lt;=$D29,M$4+6&gt;=$C29),IF($E29="Complete",3,IF($E29="In progress",2,1)),"")</x:f>
      </x:c>
      <x:c r="N29" s="74" t="str">
        <x:f>IF(AND(N$4&lt;=$D29,N$4+6&gt;=$C29),IF($E29="Complete",3,IF($E29="In progress",2,1)),"")</x:f>
      </x:c>
      <x:c r="O29" s="74" t="str">
        <x:f>IF(AND(O$4&lt;=$D29,O$4+6&gt;=$C29),IF($E29="Complete",3,IF($E29="In progress",2,1)),"")</x:f>
      </x:c>
      <x:c r="P29" s="74" t="str">
        <x:f>IF(AND(P$4&lt;=$D29,P$4+6&gt;=$C29),IF($E29="Complete",3,IF($E29="In progress",2,1)),"")</x:f>
      </x:c>
      <x:c r="Q29" s="74" t="str">
        <x:f>IF(AND(Q$4&lt;=$D29,Q$4+6&gt;=$C29),IF($E29="Complete",3,IF($E29="In progress",2,1)),"")</x:f>
      </x:c>
      <x:c r="R29" s="74" t="str">
        <x:f>IF(AND(R$4&lt;=$D29,R$4+6&gt;=$C29),IF($E29="Complete",3,IF($E29="In progress",2,1)),"")</x:f>
      </x:c>
      <x:c r="S29" s="74" t="str">
        <x:f>IF(AND(S$4&lt;=$D29,S$4+6&gt;=$C29),IF($E29="Complete",3,IF($E29="In progress",2,1)),"")</x:f>
      </x:c>
      <x:c r="T29" s="74" t="str">
        <x:f>IF(AND(T$4&lt;=$D29,T$4+6&gt;=$C29),IF($E29="Complete",3,IF($E29="In progress",2,1)),"")</x:f>
      </x:c>
      <x:c r="U29" s="74" t="str">
        <x:f>IF(AND(U$4&lt;=$D29,U$4+6&gt;=$C29),IF($E29="Complete",3,IF($E29="In progress",2,1)),"")</x:f>
      </x:c>
      <x:c r="V29" s="74" t="str">
        <x:f>IF(AND(V$4&lt;=$D29,V$4+6&gt;=$C29),IF($E29="Complete",3,IF($E29="In progress",2,1)),"")</x:f>
      </x:c>
      <x:c r="W29" s="74" t="str">
        <x:f>IF(AND(W$4&lt;=$D29,W$4+6&gt;=$C29),IF($E29="Complete",3,IF($E29="In progress",2,1)),"")</x:f>
      </x:c>
      <x:c r="X29" s="74" t="str">
        <x:f>IF(AND(X$4&lt;=$D29,X$4+6&gt;=$C29),IF($E29="Complete",3,IF($E29="In progress",2,1)),"")</x:f>
      </x:c>
      <x:c r="Y29" s="74" t="str">
        <x:f>IF(AND(Y$4&lt;=$D29,Y$4+6&gt;=$C29),IF($E29="Complete",3,IF($E29="In progress",2,1)),"")</x:f>
      </x:c>
      <x:c r="Z29" s="74" t="str">
        <x:f>IF(AND(Z$4&lt;=$D29,Z$4+6&gt;=$C29),IF($E29="Complete",3,IF($E29="In progress",2,1)),"")</x:f>
      </x:c>
      <x:c r="AA29" s="74" t="n">
        <x:f>IF(AND(AA$4&lt;=$D29,AA$4+6&gt;=$C29),IF($E29="Complete",3,IF($E29="In progress",2,1)),"")</x:f>
        <x:v>1</x:v>
      </x:c>
    </x:row>
  </x:sheetData>
  <x:mergeCells>
    <x:mergeCell ref="A1:AA1"/>
    <x:mergeCell ref="A2:AA2"/>
    <x:mergeCell ref="A3:E3"/>
    <x:mergeCell ref="F3:I3"/>
    <x:mergeCell ref="J3:N3"/>
    <x:mergeCell ref="O3:R3"/>
    <x:mergeCell ref="S3:W3"/>
    <x:mergeCell ref="X3:AA3"/>
  </x:mergeCells>
  <x:conditionalFormatting sqref="F5:AA29">
    <x:cfRule type="cellIs" dxfId="3" priority="1" operator="equal">
      <x:formula>3</x:formula>
    </x:cfRule>
    <x:cfRule type="cellIs" dxfId="4" priority="2" operator="equal">
      <x:formula>2</x:formula>
    </x:cfRule>
    <x:cfRule type="cellIs" dxfId="5" priority="3" operator="equal">
      <x:formula>1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7" hidden="0" customWidth="1"/>
    <x:col min="3" max="3" width="15" hidden="0" customWidth="1"/>
    <x:col min="4" max="4" width="38" hidden="0" customWidth="1"/>
    <x:col min="5" max="5" width="20" hidden="0" customWidth="1"/>
  </x:cols>
  <x:sheetData>
    <x:row r="1" ht="34" customHeight="1">
      <x:c r="A1" s="4" t="str">
        <x:v>Milestone Timeline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8" t="str">
        <x:v>Major evidence points and remaining deadlines, ordered toward the fixed 28 September submission.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>
      <x:c r="A4" s="37" t="str">
        <x:v>Milestone</x:v>
      </x:c>
      <x:c r="B4" s="37" t="str">
        <x:v>Date</x:v>
      </x:c>
      <x:c r="C4" s="37" t="str">
        <x:v>Status</x:v>
      </x:c>
      <x:c r="D4" s="37" t="str">
        <x:v>Evidence / Output</x:v>
      </x:c>
      <x:c r="E4" s="37" t="str">
        <x:v>Days from Project Start</x:v>
      </x:c>
    </x:row>
    <x:row r="5">
      <x:c r="A5" s="31" t="str">
        <x:v>Template and concept confirmed</x:v>
      </x:c>
      <x:c r="B5" s="38" t="n">
        <x:v>46157</x:v>
      </x:c>
      <x:c r="C5" s="31" t="str">
        <x:v>Complete</x:v>
      </x:c>
      <x:c r="D5" s="31" t="str">
        <x:v>Template 4.2 alignment</x:v>
      </x:c>
      <x:c r="E5" s="41" t="n">
        <x:f>B5-'Settings'!$B$5</x:f>
        <x:v>11</x:v>
      </x:c>
    </x:row>
    <x:row r="6">
      <x:c r="A6" s="32" t="str">
        <x:v>Formal VSA scenarios specified</x:v>
      </x:c>
      <x:c r="B6" s="39" t="n">
        <x:v>46171</x:v>
      </x:c>
      <x:c r="C6" s="32" t="str">
        <x:v>Complete</x:v>
      </x:c>
      <x:c r="D6" s="32" t="str">
        <x:v>Mirrored scenario rules</x:v>
      </x:c>
      <x:c r="E6" s="42" t="n">
        <x:f>B6-'Settings'!$B$5</x:f>
        <x:v>25</x:v>
      </x:c>
    </x:row>
    <x:row r="7">
      <x:c r="A7" s="32" t="str">
        <x:v>Preliminary report submitted</x:v>
      </x:c>
      <x:c r="B7" s="39" t="n">
        <x:v>46202</x:v>
      </x:c>
      <x:c r="C7" s="32" t="str">
        <x:v>Complete</x:v>
      </x:c>
      <x:c r="D7" s="32" t="str">
        <x:v>Prior report</x:v>
      </x:c>
      <x:c r="E7" s="42" t="n">
        <x:f>B7-'Settings'!$B$5</x:f>
        <x:v>56</x:v>
      </x:c>
    </x:row>
    <x:row r="8">
      <x:c r="A8" s="32" t="str">
        <x:v>M5 dataset prepared</x:v>
      </x:c>
      <x:c r="B8" s="39" t="n">
        <x:v>46213</x:v>
      </x:c>
      <x:c r="C8" s="32" t="str">
        <x:v>Complete</x:v>
      </x:c>
      <x:c r="D8" s="32" t="str">
        <x:v>143,020 bars</x:v>
      </x:c>
      <x:c r="E8" s="42" t="n">
        <x:f>B8-'Settings'!$B$5</x:f>
        <x:v>67</x:v>
      </x:c>
    </x:row>
    <x:row r="9">
      <x:c r="A9" s="32" t="str">
        <x:v>LR/RF comparison and LR selection</x:v>
      </x:c>
      <x:c r="B9" s="39" t="n">
        <x:v>46241</x:v>
      </x:c>
      <x:c r="C9" s="32" t="str">
        <x:v>Complete</x:v>
      </x:c>
      <x:c r="D9" s="32" t="str">
        <x:v>Separate model evidence</x:v>
      </x:c>
      <x:c r="E9" s="42" t="n">
        <x:f>B9-'Settings'!$B$5</x:f>
        <x:v>95</x:v>
      </x:c>
    </x:row>
    <x:row r="10">
      <x:c r="A10" s="32" t="str">
        <x:v>MT5 bridge and live exporter verified</x:v>
      </x:c>
      <x:c r="B10" s="39" t="n">
        <x:v>46251</x:v>
      </x:c>
      <x:c r="C10" s="32" t="str">
        <x:v>Complete</x:v>
      </x:c>
      <x:c r="D10" s="32" t="str">
        <x:v>Compile/runtime screenshots</x:v>
      </x:c>
      <x:c r="E10" s="42" t="n">
        <x:f>B10-'Settings'!$B$5</x:f>
        <x:v>105</x:v>
      </x:c>
    </x:row>
    <x:row r="11">
      <x:c r="A11" s="32" t="str">
        <x:v>Consent and questionnaire verified</x:v>
      </x:c>
      <x:c r="B11" s="39" t="n">
        <x:v>46251</x:v>
      </x:c>
      <x:c r="C11" s="32" t="str">
        <x:v>Complete</x:v>
      </x:c>
      <x:c r="D11" s="32" t="str">
        <x:v>Two user-study DOCX forms</x:v>
      </x:c>
      <x:c r="E11" s="42" t="n">
        <x:f>B11-'Settings'!$B$5</x:f>
        <x:v>105</x:v>
      </x:c>
    </x:row>
    <x:row r="12">
      <x:c r="A12" s="32" t="str">
        <x:v>Target-user sessions complete</x:v>
      </x:c>
      <x:c r="B12" s="39" t="n">
        <x:v>46268</x:v>
      </x:c>
      <x:c r="C12" s="32" t="str">
        <x:v>Planned</x:v>
      </x:c>
      <x:c r="D12" s="32" t="str">
        <x:v>10–15 coded responses</x:v>
      </x:c>
      <x:c r="E12" s="42" t="n">
        <x:f>B12-'Settings'!$B$5</x:f>
        <x:v>122</x:v>
      </x:c>
    </x:row>
    <x:row r="13">
      <x:c r="A13" s="32" t="str">
        <x:v>Evaluation/report content complete</x:v>
      </x:c>
      <x:c r="B13" s="39" t="n">
        <x:v>46282</x:v>
      </x:c>
      <x:c r="C13" s="32" t="str">
        <x:v>Planned</x:v>
      </x:c>
      <x:c r="D13" s="32" t="str">
        <x:v>Revised results and limitations</x:v>
      </x:c>
      <x:c r="E13" s="42" t="n">
        <x:f>B13-'Settings'!$B$5</x:f>
        <x:v>136</x:v>
      </x:c>
    </x:row>
    <x:row r="14">
      <x:c r="A14" s="32" t="str">
        <x:v>MP4 demonstration complete</x:v>
      </x:c>
      <x:c r="B14" s="39" t="n">
        <x:v>46286</x:v>
      </x:c>
      <x:c r="C14" s="32" t="str">
        <x:v>Planned</x:v>
      </x:c>
      <x:c r="D14" s="32" t="str">
        <x:v>3–5 minute MP4</x:v>
      </x:c>
      <x:c r="E14" s="42" t="n">
        <x:f>B14-'Settings'!$B$5</x:f>
        <x:v>140</x:v>
      </x:c>
    </x:row>
    <x:row r="15">
      <x:c r="A15" s="32" t="str">
        <x:v>Submission package validated</x:v>
      </x:c>
      <x:c r="B15" s="39" t="n">
        <x:v>46292</x:v>
      </x:c>
      <x:c r="C15" s="32" t="str">
        <x:v>Planned</x:v>
      </x:c>
      <x:c r="D15" s="32" t="str">
        <x:v>Final backup and file-open test</x:v>
      </x:c>
      <x:c r="E15" s="42" t="n">
        <x:f>B15-'Settings'!$B$5</x:f>
        <x:v>146</x:v>
      </x:c>
    </x:row>
    <x:row r="16">
      <x:c r="A16" s="33" t="str">
        <x:v>Final submission</x:v>
      </x:c>
      <x:c r="B16" s="40" t="n">
        <x:v>46293</x:v>
      </x:c>
      <x:c r="C16" s="33" t="str">
        <x:v>Fixed</x:v>
      </x:c>
      <x:c r="D16" s="33" t="str">
        <x:v>Submission receipt</x:v>
      </x:c>
      <x:c r="E16" s="43" t="n">
        <x:f>B16-'Settings'!$B$5</x:f>
        <x:v>147</x:v>
      </x:c>
    </x:row>
  </x:sheetData>
  <x:mergeCells>
    <x:mergeCell ref="A1:N1"/>
    <x:mergeCell ref="A2:N2"/>
  </x:mergeCells>
  <x:conditionalFormatting sqref="C5:C16">
    <x:cfRule type="containsText" dxfId="6" priority="1" operator="containsText" text="Complete"/>
    <x:cfRule type="containsText" dxfId="7" priority="2" operator="containsText" text="Planned"/>
    <x:cfRule type="containsText" dxfId="8" priority="3" operator="containsText" text="Fixed"/>
  </x:conditionalFormatting>
  <x:pageMargins left="0.7" right="0.7" top="0.75" bottom="0.75" header="0.3" footer="0.3"/>
  <x:drawing xmlns:r="http://schemas.openxmlformats.org/officeDocument/2006/relationships" r:id="R000c194858bc43b1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3" hidden="0" customWidth="1"/>
    <x:col min="3" max="3" width="13" hidden="0" customWidth="1"/>
    <x:col min="4" max="4" width="70" hidden="0" customWidth="1"/>
    <x:col min="5" max="5" width="16" hidden="0" customWidth="1"/>
    <x:col min="6" max="6" width="14" hidden="0" customWidth="1"/>
    <x:col min="7" max="7" width="14" hidden="0" customWidth="1"/>
  </x:cols>
  <x:sheetData>
    <x:row r="1" ht="34" customHeight="1">
      <x:c r="A1" s="4" t="str">
        <x:v>Risks and Controls</x:v>
      </x:c>
      <x:c r="B1" s="4"/>
      <x:c r="C1" s="4"/>
      <x:c r="D1" s="4"/>
      <x:c r="E1" s="4"/>
      <x:c r="F1" s="4"/>
      <x:c r="G1" s="4"/>
    </x:row>
    <x:row r="2" ht="28" customHeight="1">
      <x:c r="A2" s="8" t="str">
        <x:v>The remaining plan protects the final submission date by assigning owners, mitigation and trigger dates.</x:v>
      </x:c>
      <x:c r="B2" s="8"/>
      <x:c r="C2" s="8"/>
      <x:c r="D2" s="8"/>
      <x:c r="E2" s="8"/>
      <x:c r="F2" s="8"/>
      <x:c r="G2" s="8"/>
    </x:row>
    <x:row r="4">
      <x:c r="A4" s="37" t="str">
        <x:v>Risk</x:v>
      </x:c>
      <x:c r="B4" s="37" t="str">
        <x:v>Likelihood</x:v>
      </x:c>
      <x:c r="C4" s="37" t="str">
        <x:v>Impact</x:v>
      </x:c>
      <x:c r="D4" s="37" t="str">
        <x:v>Control / Mitigation</x:v>
      </x:c>
      <x:c r="E4" s="37" t="str">
        <x:v>Trigger Date</x:v>
      </x:c>
      <x:c r="F4" s="37" t="str">
        <x:v>Owner</x:v>
      </x:c>
      <x:c r="G4" s="37" t="str">
        <x:v>Status</x:v>
      </x:c>
    </x:row>
    <x:row r="5" ht="45" customHeight="1">
      <x:c r="A5" s="47" t="str">
        <x:v>Insufficient genuine participants</x:v>
      </x:c>
      <x:c r="B5" s="47" t="str">
        <x:v>Medium</x:v>
      </x:c>
      <x:c r="C5" s="47" t="str">
        <x:v>High</x:v>
      </x:c>
      <x:c r="D5" s="47" t="str">
        <x:v>Recruit early, use relevant student/trader groups, track daily toward minimum 10.</x:v>
      </x:c>
      <x:c r="E5" s="48" t="n">
        <x:v>46261</x:v>
      </x:c>
      <x:c r="F5" s="47" t="str">
        <x:v>Student</x:v>
      </x:c>
      <x:c r="G5" s="47" t="str">
        <x:v>Open</x:v>
      </x:c>
    </x:row>
    <x:row r="6" ht="45" customHeight="1">
      <x:c r="A6" s="51" t="str">
        <x:v>Citation gaps remain</x:v>
      </x:c>
      <x:c r="B6" s="51" t="str">
        <x:v>Medium</x:v>
      </x:c>
      <x:c r="C6" s="51" t="str">
        <x:v>High</x:v>
      </x:c>
      <x:c r="D6" s="51" t="str">
        <x:v>Run claim-by-claim citation audit and replace weak/non-academic sources.</x:v>
      </x:c>
      <x:c r="E6" s="52" t="n">
        <x:v>46270</x:v>
      </x:c>
      <x:c r="F6" s="51" t="str">
        <x:v>Student</x:v>
      </x:c>
      <x:c r="G6" s="51" t="str">
        <x:v>Open</x:v>
      </x:c>
    </x:row>
    <x:row r="7" ht="45" customHeight="1">
      <x:c r="A7" s="51" t="str">
        <x:v>Website or MT5 demo instability</x:v>
      </x:c>
      <x:c r="B7" s="51" t="str">
        <x:v>Low</x:v>
      </x:c>
      <x:c r="C7" s="51" t="str">
        <x:v>High</x:v>
      </x:c>
      <x:c r="D7" s="51" t="str">
        <x:v>Record controlled replay, retain compile/runtime evidence and create local backup inputs.</x:v>
      </x:c>
      <x:c r="E7" s="52" t="n">
        <x:v>46279</x:v>
      </x:c>
      <x:c r="F7" s="51" t="str">
        <x:v>Student</x:v>
      </x:c>
      <x:c r="G7" s="51" t="str">
        <x:v>Controlled</x:v>
      </x:c>
    </x:row>
    <x:row r="8" ht="45" customHeight="1">
      <x:c r="A8" s="51" t="str">
        <x:v>MP4 rejected for format/length</x:v>
      </x:c>
      <x:c r="B8" s="51" t="str">
        <x:v>Low</x:v>
      </x:c>
      <x:c r="C8" s="51" t="str">
        <x:v>High</x:v>
      </x:c>
      <x:c r="D8" s="51" t="str">
        <x:v>Export MP4, verify 3–5 minutes and test playback on another device.</x:v>
      </x:c>
      <x:c r="E8" s="52" t="n">
        <x:v>46286</x:v>
      </x:c>
      <x:c r="F8" s="51" t="str">
        <x:v>Student</x:v>
      </x:c>
      <x:c r="G8" s="51" t="str">
        <x:v>Open</x:v>
      </x:c>
    </x:row>
    <x:row r="9" ht="45" customHeight="1">
      <x:c r="A9" s="51" t="str">
        <x:v>Report exceeds word limits</x:v>
      </x:c>
      <x:c r="B9" s="51" t="str">
        <x:v>Medium</x:v>
      </x:c>
      <x:c r="C9" s="51" t="str">
        <x:v>Medium</x:v>
      </x:c>
      <x:c r="D9" s="51" t="str">
        <x:v>Maintain chapter word-count table and edit before supervisor review.</x:v>
      </x:c>
      <x:c r="E9" s="52" t="n">
        <x:v>46287</x:v>
      </x:c>
      <x:c r="F9" s="51" t="str">
        <x:v>Student</x:v>
      </x:c>
      <x:c r="G9" s="51" t="str">
        <x:v>Open</x:v>
      </x:c>
    </x:row>
    <x:row r="10" ht="45" customHeight="1">
      <x:c r="A10" s="55" t="str">
        <x:v>Late changes damage final package</x:v>
      </x:c>
      <x:c r="B10" s="55" t="str">
        <x:v>Medium</x:v>
      </x:c>
      <x:c r="C10" s="55" t="str">
        <x:v>High</x:v>
      </x:c>
      <x:c r="D10" s="55" t="str">
        <x:v>Freeze features after 18 September; use final checklist and redundant backups.</x:v>
      </x:c>
      <x:c r="E10" s="56" t="n">
        <x:v>46289</x:v>
      </x:c>
      <x:c r="F10" s="55" t="str">
        <x:v>Student</x:v>
      </x:c>
      <x:c r="G10" s="55" t="str">
        <x:v>Open</x:v>
      </x:c>
    </x:row>
  </x:sheetData>
  <x:mergeCells>
    <x:mergeCell ref="A1:G1"/>
    <x:mergeCell ref="A2:G2"/>
  </x:mergeCells>
  <x:conditionalFormatting sqref="C5:C10">
    <x:cfRule type="containsText" dxfId="9" priority="1" operator="containsText" text="High"/>
    <x:cfRule type="containsText" dxfId="10" priority="2" operator="containsText" text="Medium"/>
  </x:conditionalFormatting>
  <x:conditionalFormatting sqref="G5:G10">
    <x:cfRule type="containsText" dxfId="11" priority="3" operator="containsText" text="Controlled"/>
  </x:conditionalFormatting>
  <x:dataValidations count="2">
    <x:dataValidation type="list" sqref="B5:C10">
      <x:formula1>"Low,Medium,High"</x:formula1>
    </x:dataValidation>
    <x:dataValidation type="list" sqref="G5:G10">
      <x:formula1>"Open,Controlled,Closed"</x:formula1>
    </x:dataValidation>
  </x:dataValidations>
  <x:pageMargins left="0.7" right="0.7" top="0.75" bottom="0.75" header="0.3" footer="0.3"/>
</x:worksheet>
</file>