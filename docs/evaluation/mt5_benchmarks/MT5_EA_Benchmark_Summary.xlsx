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5faada1fa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 Summary" sheetId="1" r:id="Rdf5e2b76c2964d37"/>
    <x:sheet xmlns:r="http://schemas.openxmlformats.org/officeDocument/2006/relationships" name="Test Settings" sheetId="2" r:id="Rda0605987cf0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;[Red]-$#,##0.00"/>
    <x:numFmt numFmtId="201" formatCode="0.00%"/>
    <x:numFmt numFmtId="202" formatCode="0.00"/>
    <x:numFmt numFmtId="203" formatCode="#,##0"/>
    <x:numFmt numFmtId="204" formatCode="0"/>
    <x:numFmt numFmtId="205" formatCode="$#,##0.0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sz val="11"/>
      <x:color rgb="FF843C0C"/>
      <x:name val="Carlito"/>
    </x:font>
    <x:font>
      <x:b/>
      <x:sz val="16"/>
      <x:color rgb="FFFFFFFF"/>
      <x:name val="Aptos"/>
    </x:font>
    <x:font>
      <x:i/>
      <x:sz val="11"/>
      <x:color rgb="FF17365D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7F6000"/>
      <x:name val="Aptos"/>
    </x:font>
    <x:font>
      <x:sz val="11"/>
      <x:color rgb="FF843C0C"/>
      <x:name val="Aptos"/>
    </x:font>
    <x:font>
      <x:b/>
      <x:sz val="15"/>
      <x:color rgb="FFFFFFFF"/>
      <x:name val="Carlito"/>
    </x:font>
    <x:font>
      <x:b/>
      <x:sz val="15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4">
    <x:border/>
    <x:border>
      <x:right style="thin">
        <x:color rgb="FFE7EDF5"/>
      </x:right>
      <x:bottom style="thin">
        <x:color rgb="FFD9E2F3"/>
      </x:bottom>
    </x:border>
    <x:border>
      <x:left style="thin">
        <x:color rgb="FFE7EDF5"/>
      </x:left>
      <x:right style="thin">
        <x:color rgb="FFE7EDF5"/>
      </x:right>
      <x:bottom style="thin">
        <x:color rgb="FFD9E2F3"/>
      </x:bottom>
    </x:border>
    <x:border>
      <x:left style="thin">
        <x:color rgb="FFE7EDF5"/>
      </x:left>
      <x:bottom style="thin">
        <x:color rgb="FFD9E2F3"/>
      </x:bottom>
    </x:border>
    <x:border>
      <x:right style="thin">
        <x:color rgb="FFE7EDF5"/>
      </x:right>
      <x:top style="thin">
        <x:color rgb="FFD9E2F3"/>
      </x:top>
      <x:bottom style="thin">
        <x:color rgb="FFD9E2F3"/>
      </x:bottom>
    </x:border>
    <x:border>
      <x:left style="thin">
        <x:color rgb="FFE7EDF5"/>
      </x:left>
      <x:right style="thin">
        <x:color rgb="FFE7EDF5"/>
      </x:right>
      <x:top style="thin">
        <x:color rgb="FFD9E2F3"/>
      </x:top>
      <x:bottom style="thin">
        <x:color rgb="FFD9E2F3"/>
      </x:bottom>
    </x:border>
    <x:border>
      <x:left style="thin">
        <x:color rgb="FFE7EDF5"/>
      </x:left>
      <x:top style="thin">
        <x:color rgb="FFD9E2F3"/>
      </x:top>
      <x:bottom style="thin">
        <x:color rgb="FFD9E2F3"/>
      </x:bottom>
    </x:border>
    <x:border>
      <x:right style="thin">
        <x:color rgb="FFE7EDF5"/>
      </x:right>
      <x:top style="thin">
        <x:color rgb="FFD9E2F3"/>
      </x:top>
      <x:bottom style="thin">
        <x:color rgb="FF9EADBF"/>
      </x:bottom>
    </x:border>
    <x:border>
      <x:left style="thin">
        <x:color rgb="FFE7EDF5"/>
      </x:left>
      <x:right style="thin">
        <x:color rgb="FFE7EDF5"/>
      </x:right>
      <x:top style="thin">
        <x:color rgb="FFD9E2F3"/>
      </x:top>
      <x:bottom style="thin">
        <x:color rgb="FF9EADBF"/>
      </x:bottom>
    </x:border>
    <x:border>
      <x:left style="thin">
        <x:color rgb="FFE7EDF5"/>
      </x:left>
      <x:top style="thin">
        <x:color rgb="FFD9E2F3"/>
      </x:top>
      <x:bottom style="thin">
        <x:color rgb="FF9EADBF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200" fontId="0" fillId="5" borderId="2" xfId="0" applyNumberFormat="1" applyFont="1" applyFill="1" applyBorder="1"/>
    <x:xf numFmtId="200" fontId="0" fillId="5" borderId="5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5" borderId="2" xfId="0" applyNumberFormat="1" applyFont="1" applyFill="1" applyBorder="1"/>
    <x:xf numFmtId="201" fontId="0" fillId="5" borderId="5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5" borderId="2" xfId="0" applyNumberFormat="1" applyFont="1" applyFill="1" applyBorder="1"/>
    <x:xf numFmtId="202" fontId="0" fillId="5" borderId="5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3" fontId="0" fillId="5" borderId="2" xfId="0" applyNumberFormat="1" applyFont="1" applyFill="1" applyBorder="1"/>
    <x:xf numFmtId="203" fontId="0" fillId="5" borderId="5" xfId="0" applyNumberFormat="1" applyFont="1" applyFill="1" applyBorder="1"/>
    <x:xf numFmtId="203" fontId="0" fillId="0" borderId="5" xfId="0" applyNumberFormat="1" applyFont="1" applyFill="1" applyBorder="1"/>
    <x:xf numFmtId="203" fontId="0" fillId="0" borderId="8" xfId="0" applyNumberFormat="1" applyFont="1" applyFill="1" applyBorder="1"/>
    <x:xf numFmtId="204" fontId="0" fillId="5" borderId="2" xfId="0" applyNumberFormat="1" applyFont="1" applyFill="1" applyBorder="1"/>
    <x:xf numFmtId="204" fontId="0" fillId="5" borderId="5" xfId="0" applyNumberFormat="1" applyFont="1" applyFill="1" applyBorder="1"/>
    <x:xf numFmtId="204" fontId="0" fillId="0" borderId="5" xfId="0" applyNumberFormat="1" applyFont="1" applyFill="1" applyBorder="1"/>
    <x:xf numFmtId="204" fontId="0" fillId="0" borderId="8" xfId="0" applyNumberFormat="1" applyFont="1" applyFill="1" applyBorder="1"/>
    <x:xf numFmtId="200" fontId="0" fillId="5" borderId="2" xfId="0" applyNumberFormat="1" applyFont="1" applyFill="1" applyBorder="1" applyAlignment="1">
      <x:alignment horizontal="right"/>
    </x:xf>
    <x:xf numFmtId="201" fontId="0" fillId="5" borderId="2" xfId="0" applyNumberFormat="1" applyFont="1" applyFill="1" applyBorder="1" applyAlignment="1">
      <x:alignment horizontal="right"/>
    </x:xf>
    <x:xf numFmtId="202" fontId="0" fillId="5" borderId="2" xfId="0" applyNumberFormat="1" applyFont="1" applyFill="1" applyBorder="1" applyAlignment="1">
      <x:alignment horizontal="right"/>
    </x:xf>
    <x:xf numFmtId="203" fontId="0" fillId="5" borderId="2" xfId="0" applyNumberFormat="1" applyFont="1" applyFill="1" applyBorder="1" applyAlignment="1">
      <x:alignment horizontal="right"/>
    </x:xf>
    <x:xf numFmtId="204" fontId="0" fillId="5" borderId="2" xfId="0" applyNumberFormat="1" applyFont="1" applyFill="1" applyBorder="1" applyAlignment="1">
      <x:alignment horizontal="right"/>
    </x:xf>
    <x:xf numFmtId="200" fontId="0" fillId="5" borderId="5" xfId="0" applyNumberFormat="1" applyFont="1" applyFill="1" applyBorder="1" applyAlignment="1">
      <x:alignment horizontal="right"/>
    </x:xf>
    <x:xf numFmtId="201" fontId="0" fillId="5" borderId="5" xfId="0" applyNumberFormat="1" applyFont="1" applyFill="1" applyBorder="1" applyAlignment="1">
      <x:alignment horizontal="right"/>
    </x:xf>
    <x:xf numFmtId="202" fontId="0" fillId="5" borderId="5" xfId="0" applyNumberFormat="1" applyFont="1" applyFill="1" applyBorder="1" applyAlignment="1">
      <x:alignment horizontal="right"/>
    </x:xf>
    <x:xf numFmtId="203" fontId="0" fillId="5" borderId="5" xfId="0" applyNumberFormat="1" applyFont="1" applyFill="1" applyBorder="1" applyAlignment="1">
      <x:alignment horizontal="right"/>
    </x:xf>
    <x:xf numFmtId="204" fontId="0" fillId="5" borderId="5" xfId="0" applyNumberFormat="1" applyFont="1" applyFill="1" applyBorder="1" applyAlignment="1">
      <x:alignment horizontal="right"/>
    </x:xf>
    <x:xf numFmtId="200" fontId="0" fillId="0" borderId="5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  <x:xf numFmtId="202" fontId="0" fillId="0" borderId="5" xfId="0" applyNumberFormat="1" applyFont="1" applyFill="1" applyBorder="1" applyAlignment="1">
      <x:alignment horizontal="right"/>
    </x:xf>
    <x:xf numFmtId="203" fontId="0" fillId="0" borderId="5" xfId="0" applyNumberFormat="1" applyFont="1" applyFill="1" applyBorder="1" applyAlignment="1">
      <x:alignment horizontal="right"/>
    </x:xf>
    <x:xf numFmtId="204" fontId="0" fillId="0" borderId="5" xfId="0" applyNumberFormat="1" applyFont="1" applyFill="1" applyBorder="1" applyAlignment="1">
      <x:alignment horizontal="right"/>
    </x:xf>
    <x:xf numFmtId="200" fontId="0" fillId="0" borderId="8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  <x:xf numFmtId="202" fontId="0" fillId="0" borderId="8" xfId="0" applyNumberFormat="1" applyFont="1" applyFill="1" applyBorder="1" applyAlignment="1">
      <x:alignment horizontal="right"/>
    </x:xf>
    <x:xf numFmtId="203" fontId="0" fillId="0" borderId="8" xfId="0" applyNumberFormat="1" applyFont="1" applyFill="1" applyBorder="1" applyAlignment="1">
      <x:alignment horizontal="right"/>
    </x:xf>
    <x:xf numFmtId="204" fontId="0" fillId="0" borderId="8" xfId="0" applyNumberFormat="1" applyFont="1" applyFill="1" applyBorder="1" applyAlignment="1">
      <x:alignment horizontal="right"/>
    </x:xf>
    <x:xf numFmtId="204" fontId="0" fillId="5" borderId="2" xfId="0" applyNumberFormat="1" applyFont="1" applyFill="1" applyBorder="1" applyAlignment="1">
      <x:alignment horizontal="center"/>
    </x:xf>
    <x:xf numFmtId="204" fontId="0" fillId="5" borderId="5" xfId="0" applyNumberFormat="1" applyFont="1" applyFill="1" applyBorder="1" applyAlignment="1">
      <x:alignment horizontal="center"/>
    </x:xf>
    <x:xf numFmtId="204" fontId="0" fillId="0" borderId="5" xfId="0" applyNumberFormat="1" applyFont="1" applyFill="1" applyBorder="1" applyAlignment="1">
      <x:alignment horizontal="center"/>
    </x:xf>
    <x:xf numFmtId="204" fontId="0" fillId="0" borderId="8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 applyAlignment="1">
      <x:alignment horizontal="left"/>
    </x:xf>
    <x:xf numFmtId="0" fontId="0" fillId="5" borderId="6" xfId="0" applyNumberFormat="1" applyFont="1" applyFill="1" applyBorder="1" applyAlignment="1">
      <x:alignment horizontal="left"/>
    </x:xf>
    <x:xf numFmtId="0" fontId="0" fillId="0" borderId="6" xfId="0" applyNumberFormat="1" applyFont="1" applyFill="1" applyBorder="1" applyAlignment="1">
      <x:alignment horizontal="left"/>
    </x:xf>
    <x:xf numFmtId="0" fontId="0" fillId="0" borderId="9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/>
    <x:xf numFmtId="0" fontId="8" fillId="5" borderId="2" xfId="0" applyNumberFormat="1" applyFont="1" applyFill="1" applyBorder="1"/>
    <x:xf numFmtId="200" fontId="8" fillId="5" borderId="2" xfId="0" applyNumberFormat="1" applyFont="1" applyFill="1" applyBorder="1" applyAlignment="1">
      <x:alignment horizontal="right"/>
    </x:xf>
    <x:xf numFmtId="201" fontId="8" fillId="5" borderId="2" xfId="0" applyNumberFormat="1" applyFont="1" applyFill="1" applyBorder="1" applyAlignment="1">
      <x:alignment horizontal="right"/>
    </x:xf>
    <x:xf numFmtId="202" fontId="8" fillId="5" borderId="2" xfId="0" applyNumberFormat="1" applyFont="1" applyFill="1" applyBorder="1" applyAlignment="1">
      <x:alignment horizontal="right"/>
    </x:xf>
    <x:xf numFmtId="203" fontId="8" fillId="5" borderId="2" xfId="0" applyNumberFormat="1" applyFont="1" applyFill="1" applyBorder="1" applyAlignment="1">
      <x:alignment horizontal="right"/>
    </x:xf>
    <x:xf numFmtId="204" fontId="8" fillId="5" borderId="2" xfId="0" applyNumberFormat="1" applyFont="1" applyFill="1" applyBorder="1" applyAlignment="1">
      <x:alignment horizontal="center"/>
    </x:xf>
    <x:xf numFmtId="0" fontId="8" fillId="5" borderId="3" xfId="0" applyNumberFormat="1" applyFont="1" applyFill="1" applyBorder="1" applyAlignment="1">
      <x:alignment horizontal="left"/>
    </x:xf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200" fontId="8" fillId="5" borderId="5" xfId="0" applyNumberFormat="1" applyFont="1" applyFill="1" applyBorder="1" applyAlignment="1">
      <x:alignment horizontal="right"/>
    </x:xf>
    <x:xf numFmtId="201" fontId="8" fillId="5" borderId="5" xfId="0" applyNumberFormat="1" applyFont="1" applyFill="1" applyBorder="1" applyAlignment="1">
      <x:alignment horizontal="right"/>
    </x:xf>
    <x:xf numFmtId="202" fontId="8" fillId="5" borderId="5" xfId="0" applyNumberFormat="1" applyFont="1" applyFill="1" applyBorder="1" applyAlignment="1">
      <x:alignment horizontal="right"/>
    </x:xf>
    <x:xf numFmtId="203" fontId="8" fillId="5" borderId="5" xfId="0" applyNumberFormat="1" applyFont="1" applyFill="1" applyBorder="1" applyAlignment="1">
      <x:alignment horizontal="right"/>
    </x:xf>
    <x:xf numFmtId="204" fontId="8" fillId="5" borderId="5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left"/>
    </x:xf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200" fontId="8" fillId="0" borderId="5" xfId="0" applyNumberFormat="1" applyFont="1" applyFill="1" applyBorder="1" applyAlignment="1">
      <x:alignment horizontal="right"/>
    </x:xf>
    <x:xf numFmtId="201" fontId="8" fillId="0" borderId="5" xfId="0" applyNumberFormat="1" applyFont="1" applyFill="1" applyBorder="1" applyAlignment="1">
      <x:alignment horizontal="right"/>
    </x:xf>
    <x:xf numFmtId="202" fontId="8" fillId="0" borderId="5" xfId="0" applyNumberFormat="1" applyFont="1" applyFill="1" applyBorder="1" applyAlignment="1">
      <x:alignment horizontal="right"/>
    </x:xf>
    <x:xf numFmtId="203" fontId="8" fillId="0" borderId="5" xfId="0" applyNumberFormat="1" applyFont="1" applyFill="1" applyBorder="1" applyAlignment="1">
      <x:alignment horizontal="right"/>
    </x:xf>
    <x:xf numFmtId="204" fontId="8" fillId="0" borderId="5" xfId="0" applyNumberFormat="1" applyFont="1" applyFill="1" applyBorder="1" applyAlignment="1">
      <x:alignment horizontal="center"/>
    </x:xf>
    <x:xf numFmtId="0" fontId="8" fillId="0" borderId="6" xfId="0" applyNumberFormat="1" applyFont="1" applyFill="1" applyBorder="1" applyAlignment="1">
      <x:alignment horizontal="left"/>
    </x:xf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200" fontId="8" fillId="0" borderId="8" xfId="0" applyNumberFormat="1" applyFont="1" applyFill="1" applyBorder="1" applyAlignment="1">
      <x:alignment horizontal="right"/>
    </x:xf>
    <x:xf numFmtId="201" fontId="8" fillId="0" borderId="8" xfId="0" applyNumberFormat="1" applyFont="1" applyFill="1" applyBorder="1" applyAlignment="1">
      <x:alignment horizontal="right"/>
    </x:xf>
    <x:xf numFmtId="202" fontId="8" fillId="0" borderId="8" xfId="0" applyNumberFormat="1" applyFont="1" applyFill="1" applyBorder="1" applyAlignment="1">
      <x:alignment horizontal="right"/>
    </x:xf>
    <x:xf numFmtId="203" fontId="8" fillId="0" borderId="8" xfId="0" applyNumberFormat="1" applyFont="1" applyFill="1" applyBorder="1" applyAlignment="1">
      <x:alignment horizontal="right"/>
    </x:xf>
    <x:xf numFmtId="204" fontId="8" fillId="0" borderId="8" xfId="0" applyNumberFormat="1" applyFont="1" applyFill="1" applyBorder="1" applyAlignment="1">
      <x:alignment horizontal="center"/>
    </x:xf>
    <x:xf numFmtId="0" fontId="8" fillId="0" borderId="9" xfId="0" applyNumberFormat="1" applyFont="1" applyFill="1" applyBorder="1" applyAlignment="1">
      <x:alignment horizontal="left"/>
    </x:xf>
    <x:xf numFmtId="0" fontId="10" fillId="6" borderId="10" xfId="0" applyNumberFormat="1" applyFont="1" applyFill="1" applyBorder="1" applyAlignment="1">
      <x:alignment wrapText="1"/>
    </x:xf>
    <x:xf numFmtId="0" fontId="10" fillId="6" borderId="11" xfId="0" applyNumberFormat="1" applyFont="1" applyFill="1" applyBorder="1" applyAlignment="1">
      <x:alignment wrapText="1"/>
    </x:xf>
    <x:xf numFmtId="0" fontId="10" fillId="6" borderId="12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205" fontId="0" fillId="0" borderId="0" xfId="0" applyNumberFormat="1" applyFont="1" applyFill="1" applyBorder="1"/>
    <x:xf numFmtId="0" fontId="3" fillId="4" borderId="13" xfId="0" applyNumberFormat="1" applyFont="1" applyFill="1" applyBorder="1"/>
    <x:xf numFmtId="0" fontId="0" fillId="0" borderId="13" xfId="0" applyNumberFormat="1" applyFont="1" applyFill="1" applyBorder="1"/>
    <x:xf numFmtId="205" fontId="0" fillId="0" borderId="13" xfId="0" applyNumberFormat="1" applyFont="1" applyFill="1" applyBorder="1"/>
    <x:xf numFmtId="0" fontId="13" fillId="2" borderId="0" xfId="0" applyNumberFormat="1" applyFont="1" applyFill="1" applyBorder="1"/>
    <x:xf numFmtId="0" fontId="9" fillId="4" borderId="13" xfId="0" applyNumberFormat="1" applyFont="1" applyFill="1" applyBorder="1"/>
    <x:xf numFmtId="0" fontId="8" fillId="0" borderId="13" xfId="0" applyNumberFormat="1" applyFont="1" applyFill="1" applyBorder="1"/>
    <x:xf numFmtId="205" fontId="8" fillId="0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9a9328e964f46" /><Relationship Type="http://schemas.openxmlformats.org/officeDocument/2006/relationships/theme" Target="/xl/theme/theme1.xml" Id="Rea2492a8cdc34023" /><Relationship Type="http://schemas.openxmlformats.org/officeDocument/2006/relationships/sharedStrings" Target="/xl/sharedStrings.xml" Id="R9446e903f45f459a" /><Relationship Type="http://schemas.openxmlformats.org/officeDocument/2006/relationships/worksheet" Target="/xl/worksheets/sheet1.xml" Id="Rdf5e2b76c2964d37" /><Relationship Type="http://schemas.openxmlformats.org/officeDocument/2006/relationships/worksheet" Target="/xl/worksheets/sheet2.xml" Id="Rda0605987cf043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4" hidden="0" customWidth="1"/>
  </x:cols>
  <x:sheetData>
    <x:row r="1" ht="30" customHeight="1">
      <x:c r="A1" s="86" t="str">
        <x:v>MT5 Expert Advisor Benchmark — XAUUSD M5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</x:row>
    <x:row r="2" ht="28" customHeight="1">
      <x:c r="A2" s="87" t="str">
        <x:v>Equivalent conditions: 1 Jun–17 Aug 2026, 100% real ticks, USD 10,000, 1:100 leverage, fixed 0.01 lots.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  <x:c r="M2" s="87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</x:row>
    <x:row r="4" ht="36" customHeight="1">
      <x:c r="A4" s="89" t="str">
        <x:v>System</x:v>
      </x:c>
      <x:c r="B4" s="89" t="str">
        <x:v>Category</x:v>
      </x:c>
      <x:c r="C4" s="89" t="str">
        <x:v>Net profit (USD)</x:v>
      </x:c>
      <x:c r="D4" s="89" t="str">
        <x:v>Return</x:v>
      </x:c>
      <x:c r="E4" s="89" t="str">
        <x:v>Max equity DD</x:v>
      </x:c>
      <x:c r="F4" s="89" t="str">
        <x:v>Profit factor</x:v>
      </x:c>
      <x:c r="G4" s="89" t="str">
        <x:v>Expected payoff</x:v>
      </x:c>
      <x:c r="H4" s="89" t="str">
        <x:v>Sharpe</x:v>
      </x:c>
      <x:c r="I4" s="89" t="str">
        <x:v>Recovery</x:v>
      </x:c>
      <x:c r="J4" s="89" t="str">
        <x:v>Trades</x:v>
      </x:c>
      <x:c r="K4" s="89" t="str">
        <x:v>Win rate</x:v>
      </x:c>
      <x:c r="L4" s="89" t="str">
        <x:v>Max consecutive losses</x:v>
      </x:c>
      <x:c r="M4" s="89" t="str">
        <x:v>Evidence report</x:v>
      </x:c>
    </x:row>
    <x:row r="5">
      <x:c r="A5" s="90" t="str">
        <x:v>VSA+LR</x:v>
      </x:c>
      <x:c r="B5" s="91" t="str">
        <x:v>Proposed ML advisor</x:v>
      </x:c>
      <x:c r="C5" s="92" t="n">
        <x:v>284.84</x:v>
      </x:c>
      <x:c r="D5" s="93" t="n">
        <x:f>C5/'Test Settings'!$B$7</x:f>
        <x:v>0.028484</x:v>
      </x:c>
      <x:c r="E5" s="93" t="n">
        <x:v>0.0131</x:v>
      </x:c>
      <x:c r="F5" s="94" t="n">
        <x:v>1.74</x:v>
      </x:c>
      <x:c r="G5" s="94" t="n">
        <x:v>8.14</x:v>
      </x:c>
      <x:c r="H5" s="94" t="n">
        <x:v>5.97</x:v>
      </x:c>
      <x:c r="I5" s="94" t="n">
        <x:v>2.15</x:v>
      </x:c>
      <x:c r="J5" s="95" t="n">
        <x:v>35</x:v>
      </x:c>
      <x:c r="K5" s="93" t="n">
        <x:v>0.3143</x:v>
      </x:c>
      <x:c r="L5" s="96" t="n">
        <x:v>5</x:v>
      </x:c>
      <x:c r="M5" s="97" t="str">
        <x:v>reports/01_VSA_LR/01_VSA_LR_fixed001.html</x:v>
      </x:c>
    </x:row>
    <x:row r="6">
      <x:c r="A6" s="98" t="str">
        <x:v>VSA-only</x:v>
      </x:c>
      <x:c r="B6" s="99" t="str">
        <x:v>Ablation baseline</x:v>
      </x:c>
      <x:c r="C6" s="100" t="n">
        <x:v>23.21</x:v>
      </x:c>
      <x:c r="D6" s="101" t="n">
        <x:f>C6/'Test Settings'!$B$7</x:f>
        <x:v>0.002321</x:v>
      </x:c>
      <x:c r="E6" s="101" t="n">
        <x:v>0.0169</x:v>
      </x:c>
      <x:c r="F6" s="102" t="n">
        <x:v>1.04</x:v>
      </x:c>
      <x:c r="G6" s="102" t="n">
        <x:v>0.5</x:v>
      </x:c>
      <x:c r="H6" s="102" t="n">
        <x:v>0.4</x:v>
      </x:c>
      <x:c r="I6" s="102" t="n">
        <x:v>0.14</x:v>
      </x:c>
      <x:c r="J6" s="103" t="n">
        <x:v>46</x:v>
      </x:c>
      <x:c r="K6" s="101" t="n">
        <x:v>0.2174</x:v>
      </x:c>
      <x:c r="L6" s="104" t="n">
        <x:v>8</x:v>
      </x:c>
      <x:c r="M6" s="105" t="str">
        <x:v>reports/02_VSA_only/02_VSA_only_fixed001.html</x:v>
      </x:c>
    </x:row>
    <x:row r="7">
      <x:c r="A7" s="106" t="str">
        <x:v>ExpertMACD</x:v>
      </x:c>
      <x:c r="B7" s="107" t="str">
        <x:v>MetaQuotes contextual baseline</x:v>
      </x:c>
      <x:c r="C7" s="108" t="n">
        <x:v>-180.58</x:v>
      </x:c>
      <x:c r="D7" s="109" t="n">
        <x:f>C7/'Test Settings'!$B$7</x:f>
        <x:v>-0.018058</x:v>
      </x:c>
      <x:c r="E7" s="109" t="n">
        <x:v>0.0181</x:v>
      </x:c>
      <x:c r="F7" s="110" t="n">
        <x:v>0.3</x:v>
      </x:c>
      <x:c r="G7" s="110" t="n">
        <x:v>-0.16</x:v>
      </x:c>
      <x:c r="H7" s="110" t="n">
        <x:v>-5</x:v>
      </x:c>
      <x:c r="I7" s="110" t="n">
        <x:v>-1</x:v>
      </x:c>
      <x:c r="J7" s="111" t="n">
        <x:v>1118</x:v>
      </x:c>
      <x:c r="K7" s="109" t="n">
        <x:v>0.1234</x:v>
      </x:c>
      <x:c r="L7" s="112" t="n">
        <x:v>44</x:v>
      </x:c>
      <x:c r="M7" s="113" t="str">
        <x:v>reports/03_ExpertMACD/03_ExpertMACD.html</x:v>
      </x:c>
    </x:row>
    <x:row r="8">
      <x:c r="A8" s="106" t="str">
        <x:v>ExpertMAMA</x:v>
      </x:c>
      <x:c r="B8" s="107" t="str">
        <x:v>MetaQuotes contextual baseline</x:v>
      </x:c>
      <x:c r="C8" s="108" t="n">
        <x:v>-101.8</x:v>
      </x:c>
      <x:c r="D8" s="109" t="n">
        <x:f>C8/'Test Settings'!$B$7</x:f>
        <x:v>-0.01018</x:v>
      </x:c>
      <x:c r="E8" s="109" t="n">
        <x:v>0.0593</x:v>
      </x:c>
      <x:c r="F8" s="110" t="n">
        <x:v>0.39</x:v>
      </x:c>
      <x:c r="G8" s="110" t="n">
        <x:v>-4.63</x:v>
      </x:c>
      <x:c r="H8" s="110" t="n">
        <x:v>-0.39</x:v>
      </x:c>
      <x:c r="I8" s="110" t="n">
        <x:v>-0.17</x:v>
      </x:c>
      <x:c r="J8" s="111" t="n">
        <x:v>22</x:v>
      </x:c>
      <x:c r="K8" s="109" t="n">
        <x:v>0.9091</x:v>
      </x:c>
      <x:c r="L8" s="112" t="n">
        <x:v>1</x:v>
      </x:c>
      <x:c r="M8" s="113" t="str">
        <x:v>reports/04_ExpertMAMA/04_ExpertMAMA.html</x:v>
      </x:c>
    </x:row>
    <x:row r="9">
      <x:c r="A9" s="114" t="str">
        <x:v>ExpertMAPSAR</x:v>
      </x:c>
      <x:c r="B9" s="115" t="str">
        <x:v>MetaQuotes contextual baseline</x:v>
      </x:c>
      <x:c r="C9" s="116" t="n">
        <x:v>1291.65</x:v>
      </x:c>
      <x:c r="D9" s="117" t="n">
        <x:f>C9/'Test Settings'!$B$7</x:f>
        <x:v>0.129165</x:v>
      </x:c>
      <x:c r="E9" s="117" t="n">
        <x:v>0.0203</x:v>
      </x:c>
      <x:c r="F9" s="118" t="n">
        <x:v>15.13</x:v>
      </x:c>
      <x:c r="G9" s="118" t="n">
        <x:v>16.15</x:v>
      </x:c>
      <x:c r="H9" s="118" t="n">
        <x:v>6.02</x:v>
      </x:c>
      <x:c r="I9" s="118" t="n">
        <x:v>5.93</x:v>
      </x:c>
      <x:c r="J9" s="119" t="n">
        <x:v>80</x:v>
      </x:c>
      <x:c r="K9" s="117" t="n">
        <x:v>0.9625</x:v>
      </x:c>
      <x:c r="L9" s="120" t="n">
        <x:v>1</x:v>
      </x:c>
      <x:c r="M9" s="121" t="str">
        <x:v>reports/05_ExpertMAPSAR/05_ExpertMAPSAR.html</x:v>
      </x:c>
    </x:row>
    <x:row r="10">
      <x:c r="A10" s="88"/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</x:row>
    <x:row r="11" ht="54" customHeight="1">
      <x:c r="A11" s="122" t="str">
        <x:v>Interpretation: LR improved the identical VSA pipeline (net profit $284.84 vs $23.21; PF 1.74 vs 1.04; lower drawdown). ExpertMAPSAR was the strongest contextual baseline. Because these EAs take different trades, this is not evidence that VSA+LR is universally superior.</x:v>
      </x:c>
      <x:c r="B11" s="123"/>
      <x:c r="C11" s="123"/>
      <x:c r="D11" s="123"/>
      <x:c r="E11" s="123"/>
      <x:c r="F11" s="123"/>
      <x:c r="G11" s="123"/>
      <x:c r="H11" s="123"/>
      <x:c r="I11" s="123"/>
      <x:c r="J11" s="123"/>
      <x:c r="K11" s="123"/>
      <x:c r="L11" s="123"/>
      <x:c r="M11" s="124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</x:row>
    <x:row r="13" ht="46" customHeight="1">
      <x:c r="A13" s="125" t="str">
        <x:v>Limitation: the untouched VSA/LR signal test begins on 16 June inside the common tester window. The sample remains short, so walk-forward and uncertainty evidence must accompany this table. No result establishes future profitability.</x:v>
      </x:c>
      <x:c r="B13" s="125"/>
      <x:c r="C13" s="125"/>
      <x:c r="D13" s="125"/>
      <x:c r="E13" s="125"/>
      <x:c r="F13" s="125"/>
      <x:c r="G13" s="125"/>
      <x:c r="H13" s="125"/>
      <x:c r="I13" s="125"/>
      <x:c r="J13" s="125"/>
      <x:c r="K13" s="125"/>
      <x:c r="L13" s="125"/>
      <x:c r="M13" s="125"/>
    </x:row>
  </x:sheetData>
  <x:mergeCells>
    <x:mergeCell ref="A1:M1"/>
    <x:mergeCell ref="A2:M2"/>
    <x:mergeCell ref="A11:M11"/>
    <x:mergeCell ref="A13:M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2" hidden="0" customWidth="1"/>
  </x:cols>
  <x:sheetData>
    <x:row r="1">
      <x:c r="A1" s="131" t="str">
        <x:v>Matched MT5 Strategy Tester Settings</x:v>
      </x:c>
      <x:c r="B1" s="131"/>
      <x:c r="C1" s="126"/>
      <x:c r="D1" s="126"/>
    </x:row>
    <x:row r="2">
      <x:c r="A2" s="88"/>
      <x:c r="B2" s="88"/>
    </x:row>
    <x:row r="3">
      <x:c r="A3" s="132" t="str">
        <x:v>Setting</x:v>
      </x:c>
      <x:c r="B3" s="132" t="str">
        <x:v>Verified value</x:v>
      </x:c>
    </x:row>
    <x:row r="4">
      <x:c r="A4" s="133" t="str">
        <x:v>Symbol</x:v>
      </x:c>
      <x:c r="B4" s="133" t="str">
        <x:v>XAUUSD</x:v>
      </x:c>
    </x:row>
    <x:row r="5">
      <x:c r="A5" s="133" t="str">
        <x:v>Timeframe</x:v>
      </x:c>
      <x:c r="B5" s="133" t="str">
        <x:v>M5</x:v>
      </x:c>
    </x:row>
    <x:row r="6">
      <x:c r="A6" s="133" t="str">
        <x:v>Period</x:v>
      </x:c>
      <x:c r="B6" s="133" t="str">
        <x:v>2026-06-01 to 2026-08-17</x:v>
      </x:c>
    </x:row>
    <x:row r="7">
      <x:c r="A7" s="133" t="str">
        <x:v>Initial deposit</x:v>
      </x:c>
      <x:c r="B7" s="134" t="n">
        <x:v>10000</x:v>
      </x:c>
    </x:row>
    <x:row r="8">
      <x:c r="A8" s="133" t="str">
        <x:v>Leverage</x:v>
      </x:c>
      <x:c r="B8" s="133" t="str">
        <x:v>1:100</x:v>
      </x:c>
    </x:row>
    <x:row r="9">
      <x:c r="A9" s="133" t="str">
        <x:v>Modelling</x:v>
      </x:c>
      <x:c r="B9" s="133" t="str">
        <x:v>Every tick based on real ticks</x:v>
      </x:c>
    </x:row>
    <x:row r="10">
      <x:c r="A10" s="133" t="str">
        <x:v>History quality</x:v>
      </x:c>
      <x:c r="B10" s="133" t="str">
        <x:v>100% real ticks</x:v>
      </x:c>
    </x:row>
    <x:row r="11">
      <x:c r="A11" s="133" t="str">
        <x:v>Order volume</x:v>
      </x:c>
      <x:c r="B11" s="133" t="str">
        <x:v>0.01 lots in all five reports</x:v>
      </x:c>
    </x:row>
  </x:sheetData>
  <x:mergeCells>
    <x:mergeCell ref="A1:D1"/>
  </x:mergeCells>
  <x:pageMargins left="0.7" right="0.7" top="0.75" bottom="0.75" header="0.3" footer="0.3"/>
</x:worksheet>
</file>